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N_VL\Desktop\รายงานใบจัดรายวัน\"/>
    </mc:Choice>
  </mc:AlternateContent>
  <xr:revisionPtr revIDLastSave="0" documentId="13_ncr:1_{C3C4E6D2-5B36-45C6-9831-37B0715508C3}" xr6:coauthVersionLast="47" xr6:coauthVersionMax="47" xr10:uidLastSave="{00000000-0000-0000-0000-000000000000}"/>
  <bookViews>
    <workbookView xWindow="-120" yWindow="-120" windowWidth="29040" windowHeight="15720" firstSheet="7" activeTab="10" xr2:uid="{E1D62A49-B44F-4A33-BE4B-F725EAE38F2F}"/>
  </bookViews>
  <sheets>
    <sheet name="นครสวรรค์(2)" sheetId="25" r:id="rId1"/>
    <sheet name="นครสวรรค์(1)" sheetId="23" r:id="rId2"/>
    <sheet name="นครราชสีมา(1)" sheetId="21" r:id="rId3"/>
    <sheet name="เชียงใหม่(1)" sheetId="20" r:id="rId4"/>
    <sheet name="เชียงใหม่(2)" sheetId="30" r:id="rId5"/>
    <sheet name="ขอนแก่น(4)" sheetId="28" r:id="rId6"/>
    <sheet name="ขอนแก่น(3)" sheetId="19" r:id="rId7"/>
    <sheet name="ขอนแก่น(2)" sheetId="18" r:id="rId8"/>
    <sheet name="ขอนแก่น(1)" sheetId="17" r:id="rId9"/>
    <sheet name="หาดใหญ่(1)" sheetId="27" r:id="rId10"/>
    <sheet name="สุราษฎร์ธานี(2)" sheetId="24" r:id="rId11"/>
    <sheet name="สุราษฎร์ธานี(1)" sheetId="15" r:id="rId12"/>
    <sheet name="รังสิต(2)" sheetId="14" r:id="rId13"/>
    <sheet name="รังสิต(1)" sheetId="13" r:id="rId14"/>
    <sheet name="โชคชัย(2)" sheetId="12" r:id="rId15"/>
    <sheet name="โชคชัย(1)" sheetId="11" r:id="rId16"/>
    <sheet name="สำโรง(2)" sheetId="10" r:id="rId17"/>
    <sheet name="สำโรง(1)" sheetId="9" r:id="rId18"/>
    <sheet name="ชลบุรี(2)" sheetId="8" r:id="rId19"/>
    <sheet name="ชลบุรี(1)" sheetId="7" r:id="rId20"/>
    <sheet name="ร่มเกล้า(3)" sheetId="29" r:id="rId21"/>
    <sheet name="ร่มเกล้า(2)" sheetId="6" r:id="rId22"/>
    <sheet name="ร่มเกล้า(1)" sheetId="5" r:id="rId23"/>
    <sheet name="มหาชัย(3)" sheetId="4" r:id="rId24"/>
    <sheet name="มหาชัย(2)" sheetId="3" r:id="rId25"/>
    <sheet name="มหาชัย(1)" sheetId="1" r:id="rId26"/>
    <sheet name="Data" sheetId="2" r:id="rId27"/>
  </sheets>
  <definedNames>
    <definedName name="_xlnm.Print_Area" localSheetId="8">'ขอนแก่น(1)'!$A$1:$M$32</definedName>
    <definedName name="_xlnm.Print_Area" localSheetId="7">'ขอนแก่น(2)'!$A$1:$M$32</definedName>
    <definedName name="_xlnm.Print_Area" localSheetId="6">'ขอนแก่น(3)'!$A$1:$M$32</definedName>
    <definedName name="_xlnm.Print_Area" localSheetId="5">'ขอนแก่น(4)'!$A$1:$M$32</definedName>
    <definedName name="_xlnm.Print_Area" localSheetId="19">'ชลบุรี(1)'!$A$1:$M$32</definedName>
    <definedName name="_xlnm.Print_Area" localSheetId="18">'ชลบุรี(2)'!$A$1:$M$32</definedName>
    <definedName name="_xlnm.Print_Area" localSheetId="3">'เชียงใหม่(1)'!$A$1:$M$32</definedName>
    <definedName name="_xlnm.Print_Area" localSheetId="4">'เชียงใหม่(2)'!$A$1:$M$32</definedName>
    <definedName name="_xlnm.Print_Area" localSheetId="15">'โชคชัย(1)'!$A$1:$M$32</definedName>
    <definedName name="_xlnm.Print_Area" localSheetId="14">'โชคชัย(2)'!$A$1:$M$32</definedName>
    <definedName name="_xlnm.Print_Area" localSheetId="2">'นครราชสีมา(1)'!$A$1:$M$32</definedName>
    <definedName name="_xlnm.Print_Area" localSheetId="1">'นครสวรรค์(1)'!$A$1:$M$32</definedName>
    <definedName name="_xlnm.Print_Area" localSheetId="0">'นครสวรรค์(2)'!$A$1:$M$32</definedName>
    <definedName name="_xlnm.Print_Area" localSheetId="25">'มหาชัย(1)'!$A$1:$M$32</definedName>
    <definedName name="_xlnm.Print_Area" localSheetId="24">'มหาชัย(2)'!$A$1:$M$32</definedName>
    <definedName name="_xlnm.Print_Area" localSheetId="23">'มหาชัย(3)'!$A$1:$M$32</definedName>
    <definedName name="_xlnm.Print_Area" localSheetId="22">'ร่มเกล้า(1)'!$A$1:$M$32</definedName>
    <definedName name="_xlnm.Print_Area" localSheetId="21">'ร่มเกล้า(2)'!$A$1:$M$32</definedName>
    <definedName name="_xlnm.Print_Area" localSheetId="20">'ร่มเกล้า(3)'!$A$1:$M$32</definedName>
    <definedName name="_xlnm.Print_Area" localSheetId="13">'รังสิต(1)'!$A$1:$M$32</definedName>
    <definedName name="_xlnm.Print_Area" localSheetId="12">'รังสิต(2)'!$A$1:$M$32</definedName>
    <definedName name="_xlnm.Print_Area" localSheetId="17">'สำโรง(1)'!$A$1:$M$32</definedName>
    <definedName name="_xlnm.Print_Area" localSheetId="16">'สำโรง(2)'!$A$1:$M$32</definedName>
    <definedName name="_xlnm.Print_Area" localSheetId="11">'สุราษฎร์ธานี(1)'!$A$1:$M$32</definedName>
    <definedName name="_xlnm.Print_Area" localSheetId="10">'สุราษฎร์ธานี(2)'!$A$1:$M$32</definedName>
    <definedName name="_xlnm.Print_Area" localSheetId="9">'หาดใหญ่(1)'!$A$1:$M$32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4" l="1"/>
  <c r="J28" i="1"/>
  <c r="W26" i="1"/>
  <c r="W25" i="1"/>
  <c r="W24" i="1"/>
  <c r="T26" i="1"/>
  <c r="T25" i="1"/>
  <c r="Q26" i="1"/>
  <c r="Q25" i="1"/>
  <c r="U26" i="1"/>
  <c r="U27" i="1" s="1"/>
  <c r="R26" i="1"/>
  <c r="X26" i="1" s="1"/>
  <c r="X27" i="1" s="1"/>
  <c r="O9" i="25"/>
  <c r="O10" i="25"/>
  <c r="O11" i="25"/>
  <c r="O12" i="25"/>
  <c r="O13" i="25"/>
  <c r="O14" i="25"/>
  <c r="O15" i="25"/>
  <c r="O16" i="25"/>
  <c r="O17" i="25"/>
  <c r="O18" i="25"/>
  <c r="O19" i="25"/>
  <c r="O20" i="25"/>
  <c r="O21" i="25"/>
  <c r="O22" i="25"/>
  <c r="O23" i="25"/>
  <c r="O24" i="25"/>
  <c r="O25" i="25"/>
  <c r="O26" i="25"/>
  <c r="O9" i="23"/>
  <c r="O10" i="23"/>
  <c r="O11" i="23"/>
  <c r="O12" i="23"/>
  <c r="O13" i="23"/>
  <c r="O14" i="23"/>
  <c r="O15" i="23"/>
  <c r="O16" i="23"/>
  <c r="O17" i="23"/>
  <c r="O18" i="23"/>
  <c r="O19" i="23"/>
  <c r="O20" i="23"/>
  <c r="O21" i="23"/>
  <c r="O22" i="23"/>
  <c r="O23" i="23"/>
  <c r="O24" i="23"/>
  <c r="O25" i="23"/>
  <c r="O26" i="23"/>
  <c r="O9" i="21"/>
  <c r="O10" i="21"/>
  <c r="O11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O24" i="21"/>
  <c r="O25" i="21"/>
  <c r="O26" i="21"/>
  <c r="O9" i="20"/>
  <c r="O10" i="20"/>
  <c r="O11" i="20"/>
  <c r="O12" i="20"/>
  <c r="O13" i="20"/>
  <c r="O14" i="20"/>
  <c r="O15" i="20"/>
  <c r="O16" i="20"/>
  <c r="O17" i="20"/>
  <c r="O18" i="20"/>
  <c r="O19" i="20"/>
  <c r="O20" i="20"/>
  <c r="O21" i="20"/>
  <c r="O22" i="20"/>
  <c r="O23" i="20"/>
  <c r="O24" i="20"/>
  <c r="O25" i="20"/>
  <c r="O26" i="20"/>
  <c r="O9" i="30"/>
  <c r="O10" i="30"/>
  <c r="O11" i="30"/>
  <c r="O12" i="30"/>
  <c r="O13" i="30"/>
  <c r="O14" i="30"/>
  <c r="O15" i="30"/>
  <c r="O16" i="30"/>
  <c r="O17" i="30"/>
  <c r="O18" i="30"/>
  <c r="O19" i="30"/>
  <c r="O20" i="30"/>
  <c r="O21" i="30"/>
  <c r="O22" i="30"/>
  <c r="O23" i="30"/>
  <c r="O24" i="30"/>
  <c r="O25" i="30"/>
  <c r="O26" i="30"/>
  <c r="O9" i="28"/>
  <c r="O10" i="28"/>
  <c r="O11" i="28"/>
  <c r="O12" i="28"/>
  <c r="O13" i="28"/>
  <c r="O14" i="28"/>
  <c r="O15" i="28"/>
  <c r="O16" i="28"/>
  <c r="O17" i="28"/>
  <c r="O18" i="28"/>
  <c r="O19" i="28"/>
  <c r="O20" i="28"/>
  <c r="O21" i="28"/>
  <c r="O22" i="28"/>
  <c r="O23" i="28"/>
  <c r="O24" i="28"/>
  <c r="O25" i="28"/>
  <c r="O26" i="28"/>
  <c r="O9" i="19"/>
  <c r="O10" i="19"/>
  <c r="O11" i="19"/>
  <c r="O12" i="19"/>
  <c r="O13" i="19"/>
  <c r="O14" i="19"/>
  <c r="O15" i="19"/>
  <c r="O16" i="19"/>
  <c r="O17" i="19"/>
  <c r="O18" i="19"/>
  <c r="O19" i="19"/>
  <c r="O20" i="19"/>
  <c r="O21" i="19"/>
  <c r="O22" i="19"/>
  <c r="O23" i="19"/>
  <c r="O24" i="19"/>
  <c r="O25" i="19"/>
  <c r="O26" i="19"/>
  <c r="O9" i="18"/>
  <c r="O10" i="18"/>
  <c r="O11" i="18"/>
  <c r="O12" i="18"/>
  <c r="O13" i="18"/>
  <c r="O14" i="18"/>
  <c r="O15" i="18"/>
  <c r="O16" i="18"/>
  <c r="O17" i="18"/>
  <c r="O18" i="18"/>
  <c r="O19" i="18"/>
  <c r="O20" i="18"/>
  <c r="O21" i="18"/>
  <c r="O22" i="18"/>
  <c r="O23" i="18"/>
  <c r="O24" i="18"/>
  <c r="O25" i="18"/>
  <c r="O26" i="18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9" i="27"/>
  <c r="O10" i="27"/>
  <c r="O11" i="27"/>
  <c r="O12" i="27"/>
  <c r="O13" i="27"/>
  <c r="O14" i="27"/>
  <c r="O15" i="27"/>
  <c r="O16" i="27"/>
  <c r="O17" i="27"/>
  <c r="O18" i="27"/>
  <c r="O19" i="27"/>
  <c r="O20" i="27"/>
  <c r="O21" i="27"/>
  <c r="O22" i="27"/>
  <c r="O23" i="27"/>
  <c r="O24" i="27"/>
  <c r="O25" i="27"/>
  <c r="O26" i="27"/>
  <c r="O9" i="24"/>
  <c r="O10" i="24"/>
  <c r="O11" i="24"/>
  <c r="O12" i="24"/>
  <c r="O13" i="24"/>
  <c r="O14" i="24"/>
  <c r="O15" i="24"/>
  <c r="O16" i="24"/>
  <c r="O17" i="24"/>
  <c r="O18" i="24"/>
  <c r="O19" i="24"/>
  <c r="O20" i="24"/>
  <c r="O21" i="24"/>
  <c r="O22" i="24"/>
  <c r="O23" i="24"/>
  <c r="O24" i="24"/>
  <c r="O25" i="24"/>
  <c r="O26" i="24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9" i="12"/>
  <c r="O10" i="12"/>
  <c r="O11" i="12"/>
  <c r="O12" i="12"/>
  <c r="O13" i="12"/>
  <c r="O14" i="12"/>
  <c r="O15" i="12"/>
  <c r="O16" i="12"/>
  <c r="O17" i="12"/>
  <c r="O18" i="12"/>
  <c r="O19" i="12"/>
  <c r="O20" i="12"/>
  <c r="O21" i="12"/>
  <c r="O22" i="12"/>
  <c r="O23" i="12"/>
  <c r="O24" i="12"/>
  <c r="O25" i="12"/>
  <c r="O26" i="12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9" i="29"/>
  <c r="O10" i="29"/>
  <c r="O11" i="29"/>
  <c r="O12" i="29"/>
  <c r="O13" i="29"/>
  <c r="O14" i="29"/>
  <c r="O15" i="29"/>
  <c r="O16" i="29"/>
  <c r="O17" i="29"/>
  <c r="O18" i="29"/>
  <c r="O19" i="29"/>
  <c r="O20" i="29"/>
  <c r="O21" i="29"/>
  <c r="O22" i="29"/>
  <c r="O23" i="29"/>
  <c r="O24" i="29"/>
  <c r="O25" i="29"/>
  <c r="O26" i="29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N9" i="25"/>
  <c r="N10" i="25"/>
  <c r="N11" i="25"/>
  <c r="N12" i="25"/>
  <c r="N13" i="25"/>
  <c r="N14" i="25"/>
  <c r="N15" i="25"/>
  <c r="N16" i="25"/>
  <c r="N17" i="25"/>
  <c r="N18" i="25"/>
  <c r="N19" i="25"/>
  <c r="N20" i="25"/>
  <c r="N21" i="25"/>
  <c r="N22" i="25"/>
  <c r="N23" i="25"/>
  <c r="N24" i="25"/>
  <c r="N25" i="25"/>
  <c r="N26" i="25"/>
  <c r="N9" i="23"/>
  <c r="N10" i="23"/>
  <c r="N11" i="23"/>
  <c r="N12" i="23"/>
  <c r="N13" i="23"/>
  <c r="N14" i="23"/>
  <c r="N15" i="23"/>
  <c r="N16" i="23"/>
  <c r="N17" i="23"/>
  <c r="N18" i="23"/>
  <c r="N19" i="23"/>
  <c r="N20" i="23"/>
  <c r="N21" i="23"/>
  <c r="N22" i="23"/>
  <c r="N23" i="23"/>
  <c r="N24" i="23"/>
  <c r="N25" i="23"/>
  <c r="N26" i="23"/>
  <c r="N9" i="21"/>
  <c r="N10" i="21"/>
  <c r="N11" i="21"/>
  <c r="N12" i="21"/>
  <c r="N13" i="21"/>
  <c r="N14" i="21"/>
  <c r="N15" i="21"/>
  <c r="N16" i="21"/>
  <c r="N17" i="21"/>
  <c r="N18" i="21"/>
  <c r="N19" i="21"/>
  <c r="N20" i="21"/>
  <c r="N21" i="21"/>
  <c r="N22" i="21"/>
  <c r="N23" i="21"/>
  <c r="N24" i="21"/>
  <c r="N25" i="21"/>
  <c r="N26" i="21"/>
  <c r="N9" i="20"/>
  <c r="N10" i="20"/>
  <c r="N11" i="20"/>
  <c r="N12" i="20"/>
  <c r="N13" i="20"/>
  <c r="N14" i="20"/>
  <c r="N15" i="20"/>
  <c r="N16" i="20"/>
  <c r="N17" i="20"/>
  <c r="N18" i="20"/>
  <c r="N19" i="20"/>
  <c r="N20" i="20"/>
  <c r="N21" i="20"/>
  <c r="N22" i="20"/>
  <c r="N23" i="20"/>
  <c r="N24" i="20"/>
  <c r="N25" i="20"/>
  <c r="N26" i="20"/>
  <c r="N9" i="30"/>
  <c r="N10" i="30"/>
  <c r="N11" i="30"/>
  <c r="N12" i="30"/>
  <c r="N13" i="30"/>
  <c r="N14" i="30"/>
  <c r="N15" i="30"/>
  <c r="N16" i="30"/>
  <c r="N17" i="30"/>
  <c r="N18" i="30"/>
  <c r="N19" i="30"/>
  <c r="N20" i="30"/>
  <c r="N21" i="30"/>
  <c r="N22" i="30"/>
  <c r="N23" i="30"/>
  <c r="N24" i="30"/>
  <c r="N25" i="30"/>
  <c r="N26" i="30"/>
  <c r="N9" i="28"/>
  <c r="N10" i="28"/>
  <c r="N11" i="28"/>
  <c r="N12" i="28"/>
  <c r="N13" i="28"/>
  <c r="N14" i="28"/>
  <c r="N15" i="28"/>
  <c r="N16" i="28"/>
  <c r="N17" i="28"/>
  <c r="N18" i="28"/>
  <c r="N19" i="28"/>
  <c r="N20" i="28"/>
  <c r="N21" i="28"/>
  <c r="N22" i="28"/>
  <c r="N23" i="28"/>
  <c r="N24" i="28"/>
  <c r="N25" i="28"/>
  <c r="N26" i="28"/>
  <c r="N9" i="19"/>
  <c r="N10" i="19"/>
  <c r="N11" i="19"/>
  <c r="N12" i="19"/>
  <c r="N13" i="19"/>
  <c r="N14" i="19"/>
  <c r="N15" i="19"/>
  <c r="N16" i="19"/>
  <c r="N17" i="19"/>
  <c r="N18" i="19"/>
  <c r="N19" i="19"/>
  <c r="N20" i="19"/>
  <c r="N21" i="19"/>
  <c r="N22" i="19"/>
  <c r="N23" i="19"/>
  <c r="N24" i="19"/>
  <c r="N25" i="19"/>
  <c r="N26" i="19"/>
  <c r="N9" i="18"/>
  <c r="N10" i="18"/>
  <c r="N11" i="18"/>
  <c r="N12" i="18"/>
  <c r="N13" i="18"/>
  <c r="N14" i="18"/>
  <c r="N15" i="18"/>
  <c r="N16" i="18"/>
  <c r="N17" i="18"/>
  <c r="N18" i="18"/>
  <c r="N19" i="18"/>
  <c r="N20" i="18"/>
  <c r="N21" i="18"/>
  <c r="N22" i="18"/>
  <c r="N23" i="18"/>
  <c r="N24" i="18"/>
  <c r="N25" i="18"/>
  <c r="N26" i="18"/>
  <c r="N9" i="17"/>
  <c r="N10" i="17"/>
  <c r="N11" i="17"/>
  <c r="N12" i="17"/>
  <c r="N13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9" i="27"/>
  <c r="N10" i="27"/>
  <c r="N11" i="27"/>
  <c r="N12" i="27"/>
  <c r="N13" i="27"/>
  <c r="N14" i="27"/>
  <c r="N15" i="27"/>
  <c r="N16" i="27"/>
  <c r="N17" i="27"/>
  <c r="N18" i="27"/>
  <c r="N19" i="27"/>
  <c r="N20" i="27"/>
  <c r="N21" i="27"/>
  <c r="N22" i="27"/>
  <c r="N23" i="27"/>
  <c r="N24" i="27"/>
  <c r="N25" i="27"/>
  <c r="N26" i="27"/>
  <c r="N9" i="24"/>
  <c r="N10" i="24"/>
  <c r="N11" i="24"/>
  <c r="N12" i="24"/>
  <c r="N13" i="24"/>
  <c r="N14" i="24"/>
  <c r="N15" i="24"/>
  <c r="N16" i="24"/>
  <c r="N17" i="24"/>
  <c r="N18" i="24"/>
  <c r="N19" i="24"/>
  <c r="N20" i="24"/>
  <c r="N21" i="24"/>
  <c r="N22" i="24"/>
  <c r="N23" i="24"/>
  <c r="N24" i="24"/>
  <c r="N25" i="24"/>
  <c r="N26" i="24"/>
  <c r="N9" i="15"/>
  <c r="N10" i="15"/>
  <c r="N11" i="15"/>
  <c r="N12" i="15"/>
  <c r="N13" i="15"/>
  <c r="N14" i="15"/>
  <c r="N15" i="15"/>
  <c r="N16" i="15"/>
  <c r="N17" i="15"/>
  <c r="N18" i="15"/>
  <c r="N19" i="15"/>
  <c r="N20" i="15"/>
  <c r="N21" i="15"/>
  <c r="N22" i="15"/>
  <c r="N23" i="15"/>
  <c r="N24" i="15"/>
  <c r="N25" i="15"/>
  <c r="N26" i="15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9" i="29"/>
  <c r="N10" i="29"/>
  <c r="N11" i="29"/>
  <c r="N12" i="29"/>
  <c r="N13" i="29"/>
  <c r="N14" i="29"/>
  <c r="N15" i="29"/>
  <c r="N16" i="29"/>
  <c r="N17" i="29"/>
  <c r="N18" i="29"/>
  <c r="N19" i="29"/>
  <c r="N20" i="29"/>
  <c r="N21" i="29"/>
  <c r="N22" i="29"/>
  <c r="N23" i="29"/>
  <c r="N24" i="29"/>
  <c r="N25" i="29"/>
  <c r="N26" i="29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9" i="20"/>
  <c r="H10" i="20"/>
  <c r="H11" i="20"/>
  <c r="H12" i="20"/>
  <c r="H13" i="20"/>
  <c r="H14" i="20"/>
  <c r="H15" i="20"/>
  <c r="H16" i="20"/>
  <c r="H17" i="20"/>
  <c r="H18" i="20"/>
  <c r="H19" i="20"/>
  <c r="H20" i="20"/>
  <c r="H21" i="20"/>
  <c r="H22" i="20"/>
  <c r="H23" i="20"/>
  <c r="H24" i="20"/>
  <c r="H25" i="20"/>
  <c r="H26" i="20"/>
  <c r="H9" i="30"/>
  <c r="H10" i="30"/>
  <c r="H11" i="30"/>
  <c r="H12" i="30"/>
  <c r="H13" i="30"/>
  <c r="H14" i="30"/>
  <c r="H15" i="30"/>
  <c r="H16" i="30"/>
  <c r="H17" i="30"/>
  <c r="H18" i="30"/>
  <c r="H19" i="30"/>
  <c r="H20" i="30"/>
  <c r="H21" i="30"/>
  <c r="H22" i="30"/>
  <c r="H23" i="30"/>
  <c r="H24" i="30"/>
  <c r="H25" i="30"/>
  <c r="H26" i="30"/>
  <c r="H9" i="28"/>
  <c r="H10" i="28"/>
  <c r="H11" i="28"/>
  <c r="H12" i="28"/>
  <c r="H13" i="28"/>
  <c r="H14" i="28"/>
  <c r="H15" i="28"/>
  <c r="H16" i="28"/>
  <c r="H17" i="28"/>
  <c r="H18" i="28"/>
  <c r="H19" i="28"/>
  <c r="H20" i="28"/>
  <c r="H21" i="28"/>
  <c r="H22" i="28"/>
  <c r="H23" i="28"/>
  <c r="H24" i="28"/>
  <c r="H25" i="28"/>
  <c r="H26" i="28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9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9" i="29"/>
  <c r="H10" i="29"/>
  <c r="H11" i="29"/>
  <c r="H12" i="29"/>
  <c r="H13" i="29"/>
  <c r="H14" i="29"/>
  <c r="H15" i="29"/>
  <c r="H16" i="29"/>
  <c r="H17" i="29"/>
  <c r="H18" i="29"/>
  <c r="H19" i="29"/>
  <c r="H20" i="29"/>
  <c r="H21" i="29"/>
  <c r="H22" i="29"/>
  <c r="H23" i="29"/>
  <c r="H24" i="29"/>
  <c r="H25" i="29"/>
  <c r="H26" i="29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C9" i="25"/>
  <c r="J9" i="25" s="1"/>
  <c r="K9" i="25" s="1"/>
  <c r="M9" i="25" s="1"/>
  <c r="L9" i="25" s="1"/>
  <c r="C10" i="25"/>
  <c r="J10" i="25" s="1"/>
  <c r="K10" i="25" s="1"/>
  <c r="M10" i="25" s="1"/>
  <c r="L10" i="25" s="1"/>
  <c r="C11" i="25"/>
  <c r="J11" i="25" s="1"/>
  <c r="K11" i="25" s="1"/>
  <c r="M11" i="25" s="1"/>
  <c r="L11" i="25" s="1"/>
  <c r="C12" i="25"/>
  <c r="J12" i="25" s="1"/>
  <c r="K12" i="25" s="1"/>
  <c r="M12" i="25" s="1"/>
  <c r="L12" i="25" s="1"/>
  <c r="C13" i="25"/>
  <c r="J13" i="25" s="1"/>
  <c r="K13" i="25" s="1"/>
  <c r="M13" i="25" s="1"/>
  <c r="L13" i="25" s="1"/>
  <c r="C14" i="25"/>
  <c r="J14" i="25" s="1"/>
  <c r="K14" i="25" s="1"/>
  <c r="M14" i="25" s="1"/>
  <c r="L14" i="25" s="1"/>
  <c r="C15" i="25"/>
  <c r="J15" i="25" s="1"/>
  <c r="K15" i="25" s="1"/>
  <c r="M15" i="25" s="1"/>
  <c r="L15" i="25" s="1"/>
  <c r="C16" i="25"/>
  <c r="J16" i="25" s="1"/>
  <c r="K16" i="25" s="1"/>
  <c r="M16" i="25" s="1"/>
  <c r="L16" i="25" s="1"/>
  <c r="C17" i="25"/>
  <c r="J17" i="25" s="1"/>
  <c r="K17" i="25" s="1"/>
  <c r="M17" i="25" s="1"/>
  <c r="L17" i="25" s="1"/>
  <c r="C18" i="25"/>
  <c r="J18" i="25" s="1"/>
  <c r="K18" i="25" s="1"/>
  <c r="M18" i="25" s="1"/>
  <c r="L18" i="25" s="1"/>
  <c r="C19" i="25"/>
  <c r="J19" i="25" s="1"/>
  <c r="K19" i="25" s="1"/>
  <c r="M19" i="25" s="1"/>
  <c r="L19" i="25" s="1"/>
  <c r="C20" i="25"/>
  <c r="J20" i="25" s="1"/>
  <c r="K20" i="25" s="1"/>
  <c r="M20" i="25" s="1"/>
  <c r="L20" i="25" s="1"/>
  <c r="C21" i="25"/>
  <c r="J21" i="25" s="1"/>
  <c r="K21" i="25" s="1"/>
  <c r="M21" i="25" s="1"/>
  <c r="L21" i="25" s="1"/>
  <c r="C22" i="25"/>
  <c r="J22" i="25" s="1"/>
  <c r="K22" i="25" s="1"/>
  <c r="M22" i="25" s="1"/>
  <c r="L22" i="25" s="1"/>
  <c r="C23" i="25"/>
  <c r="J23" i="25" s="1"/>
  <c r="K23" i="25" s="1"/>
  <c r="M23" i="25" s="1"/>
  <c r="L23" i="25" s="1"/>
  <c r="C24" i="25"/>
  <c r="J24" i="25" s="1"/>
  <c r="K24" i="25" s="1"/>
  <c r="M24" i="25" s="1"/>
  <c r="L24" i="25" s="1"/>
  <c r="C25" i="25"/>
  <c r="J25" i="25" s="1"/>
  <c r="K25" i="25" s="1"/>
  <c r="M25" i="25" s="1"/>
  <c r="L25" i="25" s="1"/>
  <c r="C26" i="25"/>
  <c r="J26" i="25" s="1"/>
  <c r="K26" i="25" s="1"/>
  <c r="M26" i="25" s="1"/>
  <c r="L26" i="25" s="1"/>
  <c r="C9" i="23"/>
  <c r="J9" i="23" s="1"/>
  <c r="K9" i="23" s="1"/>
  <c r="M9" i="23" s="1"/>
  <c r="L9" i="23" s="1"/>
  <c r="C10" i="23"/>
  <c r="J10" i="23" s="1"/>
  <c r="K10" i="23" s="1"/>
  <c r="M10" i="23" s="1"/>
  <c r="L10" i="23" s="1"/>
  <c r="C11" i="23"/>
  <c r="J11" i="23" s="1"/>
  <c r="K11" i="23" s="1"/>
  <c r="M11" i="23" s="1"/>
  <c r="L11" i="23" s="1"/>
  <c r="C12" i="23"/>
  <c r="J12" i="23" s="1"/>
  <c r="K12" i="23" s="1"/>
  <c r="M12" i="23" s="1"/>
  <c r="L12" i="23" s="1"/>
  <c r="C13" i="23"/>
  <c r="J13" i="23" s="1"/>
  <c r="K13" i="23" s="1"/>
  <c r="M13" i="23" s="1"/>
  <c r="L13" i="23" s="1"/>
  <c r="C14" i="23"/>
  <c r="J14" i="23" s="1"/>
  <c r="K14" i="23" s="1"/>
  <c r="M14" i="23" s="1"/>
  <c r="L14" i="23" s="1"/>
  <c r="C15" i="23"/>
  <c r="J15" i="23" s="1"/>
  <c r="K15" i="23" s="1"/>
  <c r="M15" i="23" s="1"/>
  <c r="L15" i="23" s="1"/>
  <c r="C16" i="23"/>
  <c r="J16" i="23" s="1"/>
  <c r="K16" i="23" s="1"/>
  <c r="M16" i="23" s="1"/>
  <c r="L16" i="23" s="1"/>
  <c r="C17" i="23"/>
  <c r="J17" i="23" s="1"/>
  <c r="K17" i="23" s="1"/>
  <c r="M17" i="23" s="1"/>
  <c r="L17" i="23" s="1"/>
  <c r="C18" i="23"/>
  <c r="J18" i="23" s="1"/>
  <c r="K18" i="23" s="1"/>
  <c r="M18" i="23" s="1"/>
  <c r="L18" i="23" s="1"/>
  <c r="C19" i="23"/>
  <c r="J19" i="23" s="1"/>
  <c r="K19" i="23" s="1"/>
  <c r="M19" i="23" s="1"/>
  <c r="L19" i="23" s="1"/>
  <c r="C20" i="23"/>
  <c r="J20" i="23" s="1"/>
  <c r="K20" i="23" s="1"/>
  <c r="M20" i="23" s="1"/>
  <c r="L20" i="23" s="1"/>
  <c r="C21" i="23"/>
  <c r="J21" i="23" s="1"/>
  <c r="K21" i="23" s="1"/>
  <c r="M21" i="23" s="1"/>
  <c r="L21" i="23" s="1"/>
  <c r="C22" i="23"/>
  <c r="J22" i="23" s="1"/>
  <c r="K22" i="23" s="1"/>
  <c r="M22" i="23" s="1"/>
  <c r="L22" i="23" s="1"/>
  <c r="C23" i="23"/>
  <c r="J23" i="23" s="1"/>
  <c r="K23" i="23" s="1"/>
  <c r="M23" i="23" s="1"/>
  <c r="L23" i="23" s="1"/>
  <c r="C24" i="23"/>
  <c r="J24" i="23" s="1"/>
  <c r="K24" i="23" s="1"/>
  <c r="M24" i="23" s="1"/>
  <c r="L24" i="23" s="1"/>
  <c r="C25" i="23"/>
  <c r="J25" i="23" s="1"/>
  <c r="K25" i="23" s="1"/>
  <c r="M25" i="23" s="1"/>
  <c r="L25" i="23" s="1"/>
  <c r="C26" i="23"/>
  <c r="J26" i="23" s="1"/>
  <c r="K26" i="23" s="1"/>
  <c r="M26" i="23" s="1"/>
  <c r="L26" i="23" s="1"/>
  <c r="C9" i="21"/>
  <c r="J9" i="21" s="1"/>
  <c r="K9" i="21" s="1"/>
  <c r="M9" i="21" s="1"/>
  <c r="L9" i="21" s="1"/>
  <c r="C10" i="21"/>
  <c r="J10" i="21" s="1"/>
  <c r="K10" i="21" s="1"/>
  <c r="M10" i="21" s="1"/>
  <c r="L10" i="21" s="1"/>
  <c r="C11" i="21"/>
  <c r="J11" i="21" s="1"/>
  <c r="K11" i="21" s="1"/>
  <c r="M11" i="21" s="1"/>
  <c r="L11" i="21" s="1"/>
  <c r="C12" i="21"/>
  <c r="J12" i="21" s="1"/>
  <c r="K12" i="21" s="1"/>
  <c r="M12" i="21" s="1"/>
  <c r="L12" i="21" s="1"/>
  <c r="C13" i="21"/>
  <c r="J13" i="21" s="1"/>
  <c r="K13" i="21" s="1"/>
  <c r="M13" i="21" s="1"/>
  <c r="L13" i="21" s="1"/>
  <c r="C14" i="21"/>
  <c r="J14" i="21" s="1"/>
  <c r="K14" i="21" s="1"/>
  <c r="M14" i="21" s="1"/>
  <c r="L14" i="21" s="1"/>
  <c r="C15" i="21"/>
  <c r="J15" i="21" s="1"/>
  <c r="K15" i="21" s="1"/>
  <c r="M15" i="21" s="1"/>
  <c r="L15" i="21" s="1"/>
  <c r="C16" i="21"/>
  <c r="J16" i="21" s="1"/>
  <c r="K16" i="21" s="1"/>
  <c r="M16" i="21" s="1"/>
  <c r="L16" i="21" s="1"/>
  <c r="C17" i="21"/>
  <c r="J17" i="21" s="1"/>
  <c r="K17" i="21" s="1"/>
  <c r="M17" i="21" s="1"/>
  <c r="L17" i="21" s="1"/>
  <c r="C18" i="21"/>
  <c r="J18" i="21" s="1"/>
  <c r="K18" i="21" s="1"/>
  <c r="M18" i="21" s="1"/>
  <c r="L18" i="21" s="1"/>
  <c r="C19" i="21"/>
  <c r="J19" i="21" s="1"/>
  <c r="K19" i="21" s="1"/>
  <c r="M19" i="21" s="1"/>
  <c r="L19" i="21" s="1"/>
  <c r="C20" i="21"/>
  <c r="J20" i="21" s="1"/>
  <c r="K20" i="21" s="1"/>
  <c r="M20" i="21" s="1"/>
  <c r="L20" i="21" s="1"/>
  <c r="C21" i="21"/>
  <c r="J21" i="21" s="1"/>
  <c r="K21" i="21" s="1"/>
  <c r="M21" i="21" s="1"/>
  <c r="L21" i="21" s="1"/>
  <c r="C22" i="21"/>
  <c r="J22" i="21" s="1"/>
  <c r="K22" i="21" s="1"/>
  <c r="M22" i="21" s="1"/>
  <c r="L22" i="21" s="1"/>
  <c r="C23" i="21"/>
  <c r="J23" i="21" s="1"/>
  <c r="K23" i="21" s="1"/>
  <c r="M23" i="21" s="1"/>
  <c r="L23" i="21" s="1"/>
  <c r="C24" i="21"/>
  <c r="J24" i="21" s="1"/>
  <c r="K24" i="21" s="1"/>
  <c r="M24" i="21" s="1"/>
  <c r="L24" i="21" s="1"/>
  <c r="C25" i="21"/>
  <c r="J25" i="21" s="1"/>
  <c r="K25" i="21" s="1"/>
  <c r="M25" i="21" s="1"/>
  <c r="L25" i="21" s="1"/>
  <c r="C26" i="21"/>
  <c r="J26" i="21" s="1"/>
  <c r="K26" i="21" s="1"/>
  <c r="M26" i="21" s="1"/>
  <c r="L26" i="21" s="1"/>
  <c r="C9" i="20"/>
  <c r="J9" i="20" s="1"/>
  <c r="K9" i="20" s="1"/>
  <c r="M9" i="20" s="1"/>
  <c r="L9" i="20" s="1"/>
  <c r="C10" i="20"/>
  <c r="J10" i="20" s="1"/>
  <c r="K10" i="20" s="1"/>
  <c r="M10" i="20" s="1"/>
  <c r="L10" i="20" s="1"/>
  <c r="C11" i="20"/>
  <c r="J11" i="20" s="1"/>
  <c r="K11" i="20" s="1"/>
  <c r="M11" i="20" s="1"/>
  <c r="L11" i="20" s="1"/>
  <c r="C12" i="20"/>
  <c r="J12" i="20" s="1"/>
  <c r="K12" i="20" s="1"/>
  <c r="M12" i="20" s="1"/>
  <c r="L12" i="20" s="1"/>
  <c r="C13" i="20"/>
  <c r="J13" i="20" s="1"/>
  <c r="K13" i="20" s="1"/>
  <c r="M13" i="20" s="1"/>
  <c r="L13" i="20" s="1"/>
  <c r="C14" i="20"/>
  <c r="J14" i="20" s="1"/>
  <c r="K14" i="20" s="1"/>
  <c r="M14" i="20" s="1"/>
  <c r="L14" i="20" s="1"/>
  <c r="C15" i="20"/>
  <c r="J15" i="20" s="1"/>
  <c r="K15" i="20" s="1"/>
  <c r="M15" i="20" s="1"/>
  <c r="L15" i="20" s="1"/>
  <c r="C16" i="20"/>
  <c r="J16" i="20" s="1"/>
  <c r="K16" i="20" s="1"/>
  <c r="M16" i="20" s="1"/>
  <c r="L16" i="20" s="1"/>
  <c r="C17" i="20"/>
  <c r="J17" i="20" s="1"/>
  <c r="K17" i="20" s="1"/>
  <c r="M17" i="20" s="1"/>
  <c r="L17" i="20" s="1"/>
  <c r="C18" i="20"/>
  <c r="J18" i="20" s="1"/>
  <c r="K18" i="20" s="1"/>
  <c r="M18" i="20" s="1"/>
  <c r="L18" i="20" s="1"/>
  <c r="C19" i="20"/>
  <c r="J19" i="20" s="1"/>
  <c r="K19" i="20" s="1"/>
  <c r="M19" i="20" s="1"/>
  <c r="L19" i="20" s="1"/>
  <c r="C20" i="20"/>
  <c r="J20" i="20" s="1"/>
  <c r="K20" i="20" s="1"/>
  <c r="M20" i="20" s="1"/>
  <c r="L20" i="20" s="1"/>
  <c r="C21" i="20"/>
  <c r="J21" i="20" s="1"/>
  <c r="K21" i="20" s="1"/>
  <c r="M21" i="20" s="1"/>
  <c r="L21" i="20" s="1"/>
  <c r="C22" i="20"/>
  <c r="J22" i="20" s="1"/>
  <c r="K22" i="20" s="1"/>
  <c r="M22" i="20" s="1"/>
  <c r="L22" i="20" s="1"/>
  <c r="C23" i="20"/>
  <c r="J23" i="20" s="1"/>
  <c r="K23" i="20" s="1"/>
  <c r="M23" i="20" s="1"/>
  <c r="L23" i="20" s="1"/>
  <c r="C24" i="20"/>
  <c r="J24" i="20" s="1"/>
  <c r="K24" i="20" s="1"/>
  <c r="M24" i="20" s="1"/>
  <c r="L24" i="20" s="1"/>
  <c r="C25" i="20"/>
  <c r="J25" i="20" s="1"/>
  <c r="K25" i="20" s="1"/>
  <c r="M25" i="20" s="1"/>
  <c r="L25" i="20" s="1"/>
  <c r="C26" i="20"/>
  <c r="J26" i="20" s="1"/>
  <c r="K26" i="20" s="1"/>
  <c r="M26" i="20" s="1"/>
  <c r="L26" i="20" s="1"/>
  <c r="C9" i="30"/>
  <c r="J9" i="30" s="1"/>
  <c r="K9" i="30" s="1"/>
  <c r="M9" i="30" s="1"/>
  <c r="L9" i="30" s="1"/>
  <c r="C10" i="30"/>
  <c r="J10" i="30" s="1"/>
  <c r="K10" i="30" s="1"/>
  <c r="M10" i="30" s="1"/>
  <c r="L10" i="30" s="1"/>
  <c r="C11" i="30"/>
  <c r="J11" i="30" s="1"/>
  <c r="K11" i="30" s="1"/>
  <c r="M11" i="30" s="1"/>
  <c r="L11" i="30" s="1"/>
  <c r="C12" i="30"/>
  <c r="J12" i="30" s="1"/>
  <c r="K12" i="30" s="1"/>
  <c r="M12" i="30" s="1"/>
  <c r="L12" i="30" s="1"/>
  <c r="C13" i="30"/>
  <c r="J13" i="30" s="1"/>
  <c r="K13" i="30" s="1"/>
  <c r="M13" i="30" s="1"/>
  <c r="L13" i="30" s="1"/>
  <c r="C14" i="30"/>
  <c r="J14" i="30" s="1"/>
  <c r="K14" i="30" s="1"/>
  <c r="M14" i="30" s="1"/>
  <c r="L14" i="30" s="1"/>
  <c r="C15" i="30"/>
  <c r="J15" i="30" s="1"/>
  <c r="K15" i="30" s="1"/>
  <c r="M15" i="30" s="1"/>
  <c r="L15" i="30" s="1"/>
  <c r="C16" i="30"/>
  <c r="J16" i="30" s="1"/>
  <c r="K16" i="30" s="1"/>
  <c r="M16" i="30" s="1"/>
  <c r="L16" i="30" s="1"/>
  <c r="C17" i="30"/>
  <c r="J17" i="30" s="1"/>
  <c r="K17" i="30" s="1"/>
  <c r="M17" i="30" s="1"/>
  <c r="L17" i="30" s="1"/>
  <c r="C18" i="30"/>
  <c r="J18" i="30" s="1"/>
  <c r="K18" i="30" s="1"/>
  <c r="M18" i="30" s="1"/>
  <c r="L18" i="30" s="1"/>
  <c r="C19" i="30"/>
  <c r="J19" i="30" s="1"/>
  <c r="K19" i="30" s="1"/>
  <c r="M19" i="30" s="1"/>
  <c r="L19" i="30" s="1"/>
  <c r="C20" i="30"/>
  <c r="J20" i="30" s="1"/>
  <c r="K20" i="30" s="1"/>
  <c r="M20" i="30" s="1"/>
  <c r="L20" i="30" s="1"/>
  <c r="C21" i="30"/>
  <c r="J21" i="30" s="1"/>
  <c r="K21" i="30" s="1"/>
  <c r="M21" i="30" s="1"/>
  <c r="L21" i="30" s="1"/>
  <c r="C22" i="30"/>
  <c r="J22" i="30" s="1"/>
  <c r="K22" i="30" s="1"/>
  <c r="M22" i="30" s="1"/>
  <c r="L22" i="30" s="1"/>
  <c r="C23" i="30"/>
  <c r="J23" i="30" s="1"/>
  <c r="K23" i="30" s="1"/>
  <c r="M23" i="30" s="1"/>
  <c r="L23" i="30" s="1"/>
  <c r="C24" i="30"/>
  <c r="J24" i="30" s="1"/>
  <c r="K24" i="30" s="1"/>
  <c r="M24" i="30" s="1"/>
  <c r="L24" i="30" s="1"/>
  <c r="C25" i="30"/>
  <c r="J25" i="30" s="1"/>
  <c r="K25" i="30" s="1"/>
  <c r="M25" i="30" s="1"/>
  <c r="L25" i="30" s="1"/>
  <c r="C26" i="30"/>
  <c r="J26" i="30" s="1"/>
  <c r="K26" i="30" s="1"/>
  <c r="M26" i="30" s="1"/>
  <c r="L26" i="30" s="1"/>
  <c r="C9" i="28"/>
  <c r="J9" i="28" s="1"/>
  <c r="K9" i="28" s="1"/>
  <c r="M9" i="28" s="1"/>
  <c r="L9" i="28" s="1"/>
  <c r="C10" i="28"/>
  <c r="J10" i="28" s="1"/>
  <c r="K10" i="28" s="1"/>
  <c r="M10" i="28" s="1"/>
  <c r="L10" i="28" s="1"/>
  <c r="C11" i="28"/>
  <c r="J11" i="28" s="1"/>
  <c r="K11" i="28" s="1"/>
  <c r="M11" i="28" s="1"/>
  <c r="L11" i="28" s="1"/>
  <c r="C12" i="28"/>
  <c r="J12" i="28" s="1"/>
  <c r="K12" i="28" s="1"/>
  <c r="M12" i="28" s="1"/>
  <c r="L12" i="28" s="1"/>
  <c r="C13" i="28"/>
  <c r="J13" i="28" s="1"/>
  <c r="K13" i="28" s="1"/>
  <c r="M13" i="28" s="1"/>
  <c r="L13" i="28" s="1"/>
  <c r="C14" i="28"/>
  <c r="J14" i="28" s="1"/>
  <c r="K14" i="28" s="1"/>
  <c r="M14" i="28" s="1"/>
  <c r="L14" i="28" s="1"/>
  <c r="C15" i="28"/>
  <c r="J15" i="28" s="1"/>
  <c r="K15" i="28" s="1"/>
  <c r="M15" i="28" s="1"/>
  <c r="L15" i="28" s="1"/>
  <c r="C16" i="28"/>
  <c r="J16" i="28" s="1"/>
  <c r="K16" i="28" s="1"/>
  <c r="M16" i="28" s="1"/>
  <c r="L16" i="28" s="1"/>
  <c r="C17" i="28"/>
  <c r="J17" i="28" s="1"/>
  <c r="K17" i="28" s="1"/>
  <c r="M17" i="28" s="1"/>
  <c r="L17" i="28" s="1"/>
  <c r="C18" i="28"/>
  <c r="J18" i="28" s="1"/>
  <c r="K18" i="28" s="1"/>
  <c r="M18" i="28" s="1"/>
  <c r="L18" i="28" s="1"/>
  <c r="C19" i="28"/>
  <c r="J19" i="28" s="1"/>
  <c r="K19" i="28" s="1"/>
  <c r="M19" i="28" s="1"/>
  <c r="L19" i="28" s="1"/>
  <c r="C20" i="28"/>
  <c r="J20" i="28" s="1"/>
  <c r="K20" i="28" s="1"/>
  <c r="M20" i="28" s="1"/>
  <c r="L20" i="28" s="1"/>
  <c r="C21" i="28"/>
  <c r="J21" i="28" s="1"/>
  <c r="K21" i="28" s="1"/>
  <c r="M21" i="28" s="1"/>
  <c r="L21" i="28" s="1"/>
  <c r="C22" i="28"/>
  <c r="J22" i="28" s="1"/>
  <c r="K22" i="28" s="1"/>
  <c r="M22" i="28" s="1"/>
  <c r="L22" i="28" s="1"/>
  <c r="C23" i="28"/>
  <c r="J23" i="28" s="1"/>
  <c r="K23" i="28" s="1"/>
  <c r="M23" i="28" s="1"/>
  <c r="L23" i="28" s="1"/>
  <c r="C24" i="28"/>
  <c r="J24" i="28" s="1"/>
  <c r="K24" i="28" s="1"/>
  <c r="M24" i="28" s="1"/>
  <c r="L24" i="28" s="1"/>
  <c r="C25" i="28"/>
  <c r="J25" i="28" s="1"/>
  <c r="K25" i="28" s="1"/>
  <c r="M25" i="28" s="1"/>
  <c r="L25" i="28" s="1"/>
  <c r="C26" i="28"/>
  <c r="J26" i="28" s="1"/>
  <c r="K26" i="28" s="1"/>
  <c r="M26" i="28" s="1"/>
  <c r="L26" i="28" s="1"/>
  <c r="C9" i="19"/>
  <c r="J9" i="19" s="1"/>
  <c r="K9" i="19" s="1"/>
  <c r="M9" i="19" s="1"/>
  <c r="L9" i="19" s="1"/>
  <c r="C10" i="19"/>
  <c r="J10" i="19" s="1"/>
  <c r="K10" i="19" s="1"/>
  <c r="M10" i="19" s="1"/>
  <c r="L10" i="19" s="1"/>
  <c r="C11" i="19"/>
  <c r="J11" i="19" s="1"/>
  <c r="K11" i="19" s="1"/>
  <c r="M11" i="19" s="1"/>
  <c r="L11" i="19" s="1"/>
  <c r="C12" i="19"/>
  <c r="J12" i="19" s="1"/>
  <c r="K12" i="19" s="1"/>
  <c r="M12" i="19" s="1"/>
  <c r="L12" i="19" s="1"/>
  <c r="C13" i="19"/>
  <c r="J13" i="19" s="1"/>
  <c r="K13" i="19" s="1"/>
  <c r="M13" i="19" s="1"/>
  <c r="L13" i="19" s="1"/>
  <c r="C14" i="19"/>
  <c r="J14" i="19" s="1"/>
  <c r="K14" i="19" s="1"/>
  <c r="M14" i="19" s="1"/>
  <c r="L14" i="19" s="1"/>
  <c r="C15" i="19"/>
  <c r="J15" i="19" s="1"/>
  <c r="K15" i="19" s="1"/>
  <c r="M15" i="19" s="1"/>
  <c r="L15" i="19" s="1"/>
  <c r="C16" i="19"/>
  <c r="J16" i="19" s="1"/>
  <c r="K16" i="19" s="1"/>
  <c r="M16" i="19" s="1"/>
  <c r="L16" i="19" s="1"/>
  <c r="C17" i="19"/>
  <c r="J17" i="19" s="1"/>
  <c r="K17" i="19" s="1"/>
  <c r="M17" i="19" s="1"/>
  <c r="L17" i="19" s="1"/>
  <c r="C18" i="19"/>
  <c r="J18" i="19" s="1"/>
  <c r="K18" i="19" s="1"/>
  <c r="M18" i="19" s="1"/>
  <c r="L18" i="19" s="1"/>
  <c r="C19" i="19"/>
  <c r="J19" i="19" s="1"/>
  <c r="K19" i="19" s="1"/>
  <c r="M19" i="19" s="1"/>
  <c r="L19" i="19" s="1"/>
  <c r="C20" i="19"/>
  <c r="J20" i="19" s="1"/>
  <c r="K20" i="19" s="1"/>
  <c r="M20" i="19" s="1"/>
  <c r="L20" i="19" s="1"/>
  <c r="C21" i="19"/>
  <c r="J21" i="19" s="1"/>
  <c r="K21" i="19" s="1"/>
  <c r="M21" i="19" s="1"/>
  <c r="L21" i="19" s="1"/>
  <c r="C22" i="19"/>
  <c r="J22" i="19" s="1"/>
  <c r="K22" i="19" s="1"/>
  <c r="M22" i="19" s="1"/>
  <c r="L22" i="19" s="1"/>
  <c r="C23" i="19"/>
  <c r="J23" i="19" s="1"/>
  <c r="K23" i="19" s="1"/>
  <c r="M23" i="19" s="1"/>
  <c r="L23" i="19" s="1"/>
  <c r="C24" i="19"/>
  <c r="J24" i="19" s="1"/>
  <c r="K24" i="19" s="1"/>
  <c r="M24" i="19" s="1"/>
  <c r="L24" i="19" s="1"/>
  <c r="C25" i="19"/>
  <c r="J25" i="19" s="1"/>
  <c r="K25" i="19" s="1"/>
  <c r="M25" i="19" s="1"/>
  <c r="L25" i="19" s="1"/>
  <c r="C26" i="19"/>
  <c r="J26" i="19" s="1"/>
  <c r="K26" i="19" s="1"/>
  <c r="M26" i="19" s="1"/>
  <c r="L26" i="19" s="1"/>
  <c r="C9" i="18"/>
  <c r="J9" i="18" s="1"/>
  <c r="K9" i="18" s="1"/>
  <c r="M9" i="18" s="1"/>
  <c r="L9" i="18" s="1"/>
  <c r="C10" i="18"/>
  <c r="J10" i="18" s="1"/>
  <c r="K10" i="18" s="1"/>
  <c r="M10" i="18" s="1"/>
  <c r="L10" i="18" s="1"/>
  <c r="C11" i="18"/>
  <c r="J11" i="18" s="1"/>
  <c r="K11" i="18" s="1"/>
  <c r="M11" i="18" s="1"/>
  <c r="L11" i="18" s="1"/>
  <c r="C12" i="18"/>
  <c r="J12" i="18" s="1"/>
  <c r="K12" i="18" s="1"/>
  <c r="M12" i="18" s="1"/>
  <c r="L12" i="18" s="1"/>
  <c r="C13" i="18"/>
  <c r="J13" i="18" s="1"/>
  <c r="K13" i="18" s="1"/>
  <c r="M13" i="18" s="1"/>
  <c r="L13" i="18" s="1"/>
  <c r="C14" i="18"/>
  <c r="J14" i="18" s="1"/>
  <c r="K14" i="18" s="1"/>
  <c r="M14" i="18" s="1"/>
  <c r="L14" i="18" s="1"/>
  <c r="C15" i="18"/>
  <c r="J15" i="18" s="1"/>
  <c r="K15" i="18" s="1"/>
  <c r="M15" i="18" s="1"/>
  <c r="L15" i="18" s="1"/>
  <c r="C16" i="18"/>
  <c r="J16" i="18" s="1"/>
  <c r="K16" i="18" s="1"/>
  <c r="M16" i="18" s="1"/>
  <c r="L16" i="18" s="1"/>
  <c r="C17" i="18"/>
  <c r="J17" i="18" s="1"/>
  <c r="K17" i="18" s="1"/>
  <c r="M17" i="18" s="1"/>
  <c r="L17" i="18" s="1"/>
  <c r="C18" i="18"/>
  <c r="J18" i="18" s="1"/>
  <c r="K18" i="18" s="1"/>
  <c r="M18" i="18" s="1"/>
  <c r="L18" i="18" s="1"/>
  <c r="C19" i="18"/>
  <c r="J19" i="18" s="1"/>
  <c r="K19" i="18" s="1"/>
  <c r="M19" i="18" s="1"/>
  <c r="L19" i="18" s="1"/>
  <c r="C20" i="18"/>
  <c r="J20" i="18" s="1"/>
  <c r="K20" i="18" s="1"/>
  <c r="M20" i="18" s="1"/>
  <c r="L20" i="18" s="1"/>
  <c r="C21" i="18"/>
  <c r="J21" i="18" s="1"/>
  <c r="K21" i="18" s="1"/>
  <c r="M21" i="18" s="1"/>
  <c r="L21" i="18" s="1"/>
  <c r="C22" i="18"/>
  <c r="J22" i="18" s="1"/>
  <c r="K22" i="18" s="1"/>
  <c r="M22" i="18" s="1"/>
  <c r="L22" i="18" s="1"/>
  <c r="C23" i="18"/>
  <c r="J23" i="18" s="1"/>
  <c r="K23" i="18" s="1"/>
  <c r="M23" i="18" s="1"/>
  <c r="L23" i="18" s="1"/>
  <c r="C24" i="18"/>
  <c r="J24" i="18" s="1"/>
  <c r="K24" i="18" s="1"/>
  <c r="M24" i="18" s="1"/>
  <c r="L24" i="18" s="1"/>
  <c r="C25" i="18"/>
  <c r="J25" i="18" s="1"/>
  <c r="K25" i="18" s="1"/>
  <c r="M25" i="18" s="1"/>
  <c r="L25" i="18" s="1"/>
  <c r="C26" i="18"/>
  <c r="J26" i="18" s="1"/>
  <c r="K26" i="18" s="1"/>
  <c r="M26" i="18" s="1"/>
  <c r="L26" i="18" s="1"/>
  <c r="C9" i="17"/>
  <c r="J9" i="17" s="1"/>
  <c r="K9" i="17" s="1"/>
  <c r="M9" i="17" s="1"/>
  <c r="L9" i="17" s="1"/>
  <c r="C10" i="17"/>
  <c r="J10" i="17" s="1"/>
  <c r="K10" i="17" s="1"/>
  <c r="M10" i="17" s="1"/>
  <c r="L10" i="17" s="1"/>
  <c r="C11" i="17"/>
  <c r="J11" i="17" s="1"/>
  <c r="K11" i="17" s="1"/>
  <c r="M11" i="17" s="1"/>
  <c r="L11" i="17" s="1"/>
  <c r="C12" i="17"/>
  <c r="J12" i="17" s="1"/>
  <c r="K12" i="17" s="1"/>
  <c r="M12" i="17" s="1"/>
  <c r="L12" i="17" s="1"/>
  <c r="C13" i="17"/>
  <c r="J13" i="17" s="1"/>
  <c r="K13" i="17" s="1"/>
  <c r="M13" i="17" s="1"/>
  <c r="L13" i="17" s="1"/>
  <c r="C14" i="17"/>
  <c r="J14" i="17" s="1"/>
  <c r="K14" i="17" s="1"/>
  <c r="M14" i="17" s="1"/>
  <c r="L14" i="17" s="1"/>
  <c r="C15" i="17"/>
  <c r="J15" i="17" s="1"/>
  <c r="K15" i="17" s="1"/>
  <c r="M15" i="17" s="1"/>
  <c r="L15" i="17" s="1"/>
  <c r="C16" i="17"/>
  <c r="J16" i="17" s="1"/>
  <c r="K16" i="17" s="1"/>
  <c r="M16" i="17" s="1"/>
  <c r="L16" i="17" s="1"/>
  <c r="C17" i="17"/>
  <c r="J17" i="17" s="1"/>
  <c r="K17" i="17" s="1"/>
  <c r="M17" i="17" s="1"/>
  <c r="L17" i="17" s="1"/>
  <c r="C18" i="17"/>
  <c r="J18" i="17" s="1"/>
  <c r="K18" i="17" s="1"/>
  <c r="M18" i="17" s="1"/>
  <c r="L18" i="17" s="1"/>
  <c r="C19" i="17"/>
  <c r="J19" i="17" s="1"/>
  <c r="K19" i="17" s="1"/>
  <c r="M19" i="17" s="1"/>
  <c r="L19" i="17" s="1"/>
  <c r="C20" i="17"/>
  <c r="J20" i="17" s="1"/>
  <c r="K20" i="17" s="1"/>
  <c r="M20" i="17" s="1"/>
  <c r="L20" i="17" s="1"/>
  <c r="C21" i="17"/>
  <c r="J21" i="17" s="1"/>
  <c r="K21" i="17" s="1"/>
  <c r="M21" i="17" s="1"/>
  <c r="L21" i="17" s="1"/>
  <c r="C22" i="17"/>
  <c r="J22" i="17" s="1"/>
  <c r="K22" i="17" s="1"/>
  <c r="M22" i="17" s="1"/>
  <c r="L22" i="17" s="1"/>
  <c r="C23" i="17"/>
  <c r="J23" i="17" s="1"/>
  <c r="K23" i="17" s="1"/>
  <c r="M23" i="17" s="1"/>
  <c r="L23" i="17" s="1"/>
  <c r="C24" i="17"/>
  <c r="J24" i="17" s="1"/>
  <c r="K24" i="17" s="1"/>
  <c r="M24" i="17" s="1"/>
  <c r="L24" i="17" s="1"/>
  <c r="C25" i="17"/>
  <c r="J25" i="17" s="1"/>
  <c r="K25" i="17" s="1"/>
  <c r="M25" i="17" s="1"/>
  <c r="L25" i="17" s="1"/>
  <c r="C26" i="17"/>
  <c r="J26" i="17" s="1"/>
  <c r="K26" i="17" s="1"/>
  <c r="M26" i="17" s="1"/>
  <c r="L26" i="17" s="1"/>
  <c r="C9" i="27"/>
  <c r="J9" i="27" s="1"/>
  <c r="K9" i="27" s="1"/>
  <c r="M9" i="27" s="1"/>
  <c r="L9" i="27" s="1"/>
  <c r="C10" i="27"/>
  <c r="J10" i="27" s="1"/>
  <c r="K10" i="27" s="1"/>
  <c r="M10" i="27" s="1"/>
  <c r="L10" i="27" s="1"/>
  <c r="C11" i="27"/>
  <c r="J11" i="27" s="1"/>
  <c r="K11" i="27" s="1"/>
  <c r="M11" i="27" s="1"/>
  <c r="L11" i="27" s="1"/>
  <c r="C12" i="27"/>
  <c r="J12" i="27" s="1"/>
  <c r="K12" i="27" s="1"/>
  <c r="M12" i="27" s="1"/>
  <c r="L12" i="27" s="1"/>
  <c r="C13" i="27"/>
  <c r="J13" i="27" s="1"/>
  <c r="K13" i="27" s="1"/>
  <c r="M13" i="27" s="1"/>
  <c r="L13" i="27" s="1"/>
  <c r="C14" i="27"/>
  <c r="J14" i="27" s="1"/>
  <c r="K14" i="27" s="1"/>
  <c r="M14" i="27" s="1"/>
  <c r="L14" i="27" s="1"/>
  <c r="C15" i="27"/>
  <c r="J15" i="27" s="1"/>
  <c r="K15" i="27" s="1"/>
  <c r="M15" i="27" s="1"/>
  <c r="L15" i="27" s="1"/>
  <c r="C16" i="27"/>
  <c r="J16" i="27" s="1"/>
  <c r="K16" i="27" s="1"/>
  <c r="M16" i="27" s="1"/>
  <c r="L16" i="27" s="1"/>
  <c r="C17" i="27"/>
  <c r="J17" i="27" s="1"/>
  <c r="K17" i="27" s="1"/>
  <c r="M17" i="27" s="1"/>
  <c r="L17" i="27" s="1"/>
  <c r="C18" i="27"/>
  <c r="J18" i="27" s="1"/>
  <c r="K18" i="27" s="1"/>
  <c r="M18" i="27" s="1"/>
  <c r="L18" i="27" s="1"/>
  <c r="C19" i="27"/>
  <c r="J19" i="27" s="1"/>
  <c r="K19" i="27" s="1"/>
  <c r="M19" i="27" s="1"/>
  <c r="L19" i="27" s="1"/>
  <c r="C20" i="27"/>
  <c r="J20" i="27" s="1"/>
  <c r="K20" i="27" s="1"/>
  <c r="M20" i="27" s="1"/>
  <c r="L20" i="27" s="1"/>
  <c r="C21" i="27"/>
  <c r="J21" i="27" s="1"/>
  <c r="K21" i="27" s="1"/>
  <c r="M21" i="27" s="1"/>
  <c r="L21" i="27" s="1"/>
  <c r="C22" i="27"/>
  <c r="J22" i="27" s="1"/>
  <c r="K22" i="27" s="1"/>
  <c r="M22" i="27" s="1"/>
  <c r="L22" i="27" s="1"/>
  <c r="C23" i="27"/>
  <c r="J23" i="27" s="1"/>
  <c r="K23" i="27" s="1"/>
  <c r="M23" i="27" s="1"/>
  <c r="L23" i="27" s="1"/>
  <c r="C24" i="27"/>
  <c r="J24" i="27" s="1"/>
  <c r="K24" i="27" s="1"/>
  <c r="M24" i="27" s="1"/>
  <c r="L24" i="27" s="1"/>
  <c r="C25" i="27"/>
  <c r="J25" i="27" s="1"/>
  <c r="K25" i="27" s="1"/>
  <c r="M25" i="27" s="1"/>
  <c r="L25" i="27" s="1"/>
  <c r="C26" i="27"/>
  <c r="J26" i="27" s="1"/>
  <c r="K26" i="27" s="1"/>
  <c r="M26" i="27" s="1"/>
  <c r="L26" i="27" s="1"/>
  <c r="C9" i="24"/>
  <c r="J9" i="24" s="1"/>
  <c r="K9" i="24" s="1"/>
  <c r="M9" i="24" s="1"/>
  <c r="L9" i="24" s="1"/>
  <c r="C10" i="24"/>
  <c r="J10" i="24" s="1"/>
  <c r="K10" i="24" s="1"/>
  <c r="M10" i="24" s="1"/>
  <c r="L10" i="24" s="1"/>
  <c r="C11" i="24"/>
  <c r="J11" i="24" s="1"/>
  <c r="K11" i="24" s="1"/>
  <c r="M11" i="24" s="1"/>
  <c r="L11" i="24" s="1"/>
  <c r="C12" i="24"/>
  <c r="J12" i="24" s="1"/>
  <c r="K12" i="24" s="1"/>
  <c r="M12" i="24" s="1"/>
  <c r="L12" i="24" s="1"/>
  <c r="C13" i="24"/>
  <c r="J13" i="24" s="1"/>
  <c r="K13" i="24" s="1"/>
  <c r="M13" i="24" s="1"/>
  <c r="L13" i="24" s="1"/>
  <c r="C14" i="24"/>
  <c r="J14" i="24" s="1"/>
  <c r="K14" i="24" s="1"/>
  <c r="M14" i="24" s="1"/>
  <c r="L14" i="24" s="1"/>
  <c r="C15" i="24"/>
  <c r="J15" i="24" s="1"/>
  <c r="K15" i="24" s="1"/>
  <c r="M15" i="24" s="1"/>
  <c r="L15" i="24" s="1"/>
  <c r="C16" i="24"/>
  <c r="J16" i="24" s="1"/>
  <c r="K16" i="24" s="1"/>
  <c r="M16" i="24" s="1"/>
  <c r="L16" i="24" s="1"/>
  <c r="C17" i="24"/>
  <c r="J17" i="24" s="1"/>
  <c r="K17" i="24" s="1"/>
  <c r="M17" i="24" s="1"/>
  <c r="L17" i="24" s="1"/>
  <c r="C18" i="24"/>
  <c r="J18" i="24" s="1"/>
  <c r="K18" i="24" s="1"/>
  <c r="M18" i="24" s="1"/>
  <c r="L18" i="24" s="1"/>
  <c r="C19" i="24"/>
  <c r="J19" i="24" s="1"/>
  <c r="K19" i="24" s="1"/>
  <c r="M19" i="24" s="1"/>
  <c r="L19" i="24" s="1"/>
  <c r="C20" i="24"/>
  <c r="J20" i="24" s="1"/>
  <c r="K20" i="24" s="1"/>
  <c r="M20" i="24" s="1"/>
  <c r="L20" i="24" s="1"/>
  <c r="C21" i="24"/>
  <c r="J21" i="24" s="1"/>
  <c r="K21" i="24" s="1"/>
  <c r="M21" i="24" s="1"/>
  <c r="L21" i="24" s="1"/>
  <c r="C22" i="24"/>
  <c r="J22" i="24" s="1"/>
  <c r="K22" i="24" s="1"/>
  <c r="M22" i="24" s="1"/>
  <c r="L22" i="24" s="1"/>
  <c r="C23" i="24"/>
  <c r="J23" i="24" s="1"/>
  <c r="K23" i="24" s="1"/>
  <c r="M23" i="24" s="1"/>
  <c r="L23" i="24" s="1"/>
  <c r="C24" i="24"/>
  <c r="J24" i="24" s="1"/>
  <c r="K24" i="24" s="1"/>
  <c r="M24" i="24" s="1"/>
  <c r="L24" i="24" s="1"/>
  <c r="C25" i="24"/>
  <c r="J25" i="24" s="1"/>
  <c r="K25" i="24" s="1"/>
  <c r="M25" i="24" s="1"/>
  <c r="L25" i="24" s="1"/>
  <c r="C26" i="24"/>
  <c r="J26" i="24" s="1"/>
  <c r="K26" i="24" s="1"/>
  <c r="M26" i="24" s="1"/>
  <c r="L26" i="24" s="1"/>
  <c r="C9" i="15"/>
  <c r="J9" i="15" s="1"/>
  <c r="K9" i="15" s="1"/>
  <c r="M9" i="15" s="1"/>
  <c r="L9" i="15" s="1"/>
  <c r="C10" i="15"/>
  <c r="J10" i="15" s="1"/>
  <c r="K10" i="15" s="1"/>
  <c r="M10" i="15" s="1"/>
  <c r="L10" i="15" s="1"/>
  <c r="C11" i="15"/>
  <c r="J11" i="15" s="1"/>
  <c r="K11" i="15" s="1"/>
  <c r="M11" i="15" s="1"/>
  <c r="L11" i="15" s="1"/>
  <c r="C12" i="15"/>
  <c r="J12" i="15" s="1"/>
  <c r="K12" i="15" s="1"/>
  <c r="M12" i="15" s="1"/>
  <c r="L12" i="15" s="1"/>
  <c r="C13" i="15"/>
  <c r="J13" i="15" s="1"/>
  <c r="K13" i="15" s="1"/>
  <c r="M13" i="15" s="1"/>
  <c r="L13" i="15" s="1"/>
  <c r="C14" i="15"/>
  <c r="J14" i="15" s="1"/>
  <c r="K14" i="15" s="1"/>
  <c r="M14" i="15" s="1"/>
  <c r="L14" i="15" s="1"/>
  <c r="C15" i="15"/>
  <c r="J15" i="15" s="1"/>
  <c r="K15" i="15" s="1"/>
  <c r="M15" i="15" s="1"/>
  <c r="L15" i="15" s="1"/>
  <c r="C16" i="15"/>
  <c r="J16" i="15" s="1"/>
  <c r="K16" i="15" s="1"/>
  <c r="M16" i="15" s="1"/>
  <c r="L16" i="15" s="1"/>
  <c r="C17" i="15"/>
  <c r="J17" i="15" s="1"/>
  <c r="K17" i="15" s="1"/>
  <c r="M17" i="15" s="1"/>
  <c r="L17" i="15" s="1"/>
  <c r="C18" i="15"/>
  <c r="J18" i="15" s="1"/>
  <c r="K18" i="15" s="1"/>
  <c r="M18" i="15" s="1"/>
  <c r="L18" i="15" s="1"/>
  <c r="C19" i="15"/>
  <c r="J19" i="15" s="1"/>
  <c r="K19" i="15" s="1"/>
  <c r="M19" i="15" s="1"/>
  <c r="L19" i="15" s="1"/>
  <c r="C20" i="15"/>
  <c r="J20" i="15" s="1"/>
  <c r="K20" i="15" s="1"/>
  <c r="M20" i="15" s="1"/>
  <c r="L20" i="15" s="1"/>
  <c r="C21" i="15"/>
  <c r="J21" i="15" s="1"/>
  <c r="K21" i="15" s="1"/>
  <c r="M21" i="15" s="1"/>
  <c r="L21" i="15" s="1"/>
  <c r="C22" i="15"/>
  <c r="J22" i="15" s="1"/>
  <c r="K22" i="15" s="1"/>
  <c r="M22" i="15" s="1"/>
  <c r="L22" i="15" s="1"/>
  <c r="C23" i="15"/>
  <c r="J23" i="15" s="1"/>
  <c r="K23" i="15" s="1"/>
  <c r="M23" i="15" s="1"/>
  <c r="L23" i="15" s="1"/>
  <c r="C24" i="15"/>
  <c r="J24" i="15" s="1"/>
  <c r="K24" i="15" s="1"/>
  <c r="M24" i="15" s="1"/>
  <c r="L24" i="15" s="1"/>
  <c r="C25" i="15"/>
  <c r="J25" i="15" s="1"/>
  <c r="K25" i="15" s="1"/>
  <c r="M25" i="15" s="1"/>
  <c r="L25" i="15" s="1"/>
  <c r="C26" i="15"/>
  <c r="J26" i="15" s="1"/>
  <c r="K26" i="15" s="1"/>
  <c r="M26" i="15" s="1"/>
  <c r="L26" i="15" s="1"/>
  <c r="C9" i="14"/>
  <c r="J9" i="14" s="1"/>
  <c r="K9" i="14" s="1"/>
  <c r="M9" i="14" s="1"/>
  <c r="L9" i="14" s="1"/>
  <c r="C10" i="14"/>
  <c r="J10" i="14" s="1"/>
  <c r="K10" i="14" s="1"/>
  <c r="M10" i="14" s="1"/>
  <c r="L10" i="14" s="1"/>
  <c r="C11" i="14"/>
  <c r="J11" i="14" s="1"/>
  <c r="K11" i="14" s="1"/>
  <c r="M11" i="14" s="1"/>
  <c r="L11" i="14" s="1"/>
  <c r="C12" i="14"/>
  <c r="J12" i="14" s="1"/>
  <c r="K12" i="14" s="1"/>
  <c r="M12" i="14" s="1"/>
  <c r="L12" i="14" s="1"/>
  <c r="C13" i="14"/>
  <c r="J13" i="14" s="1"/>
  <c r="K13" i="14" s="1"/>
  <c r="M13" i="14" s="1"/>
  <c r="L13" i="14" s="1"/>
  <c r="C14" i="14"/>
  <c r="J14" i="14" s="1"/>
  <c r="K14" i="14" s="1"/>
  <c r="M14" i="14" s="1"/>
  <c r="L14" i="14" s="1"/>
  <c r="C15" i="14"/>
  <c r="J15" i="14" s="1"/>
  <c r="K15" i="14" s="1"/>
  <c r="M15" i="14" s="1"/>
  <c r="L15" i="14" s="1"/>
  <c r="C16" i="14"/>
  <c r="J16" i="14" s="1"/>
  <c r="K16" i="14" s="1"/>
  <c r="M16" i="14" s="1"/>
  <c r="L16" i="14" s="1"/>
  <c r="C17" i="14"/>
  <c r="J17" i="14" s="1"/>
  <c r="K17" i="14" s="1"/>
  <c r="M17" i="14" s="1"/>
  <c r="L17" i="14" s="1"/>
  <c r="C18" i="14"/>
  <c r="J18" i="14" s="1"/>
  <c r="K18" i="14" s="1"/>
  <c r="M18" i="14" s="1"/>
  <c r="L18" i="14" s="1"/>
  <c r="C19" i="14"/>
  <c r="J19" i="14" s="1"/>
  <c r="K19" i="14" s="1"/>
  <c r="M19" i="14" s="1"/>
  <c r="L19" i="14" s="1"/>
  <c r="C20" i="14"/>
  <c r="J20" i="14" s="1"/>
  <c r="K20" i="14" s="1"/>
  <c r="M20" i="14" s="1"/>
  <c r="L20" i="14" s="1"/>
  <c r="C21" i="14"/>
  <c r="J21" i="14" s="1"/>
  <c r="K21" i="14" s="1"/>
  <c r="M21" i="14" s="1"/>
  <c r="L21" i="14" s="1"/>
  <c r="C22" i="14"/>
  <c r="J22" i="14" s="1"/>
  <c r="K22" i="14" s="1"/>
  <c r="M22" i="14" s="1"/>
  <c r="L22" i="14" s="1"/>
  <c r="C23" i="14"/>
  <c r="J23" i="14" s="1"/>
  <c r="K23" i="14" s="1"/>
  <c r="M23" i="14" s="1"/>
  <c r="L23" i="14" s="1"/>
  <c r="C24" i="14"/>
  <c r="J24" i="14" s="1"/>
  <c r="K24" i="14" s="1"/>
  <c r="M24" i="14" s="1"/>
  <c r="L24" i="14" s="1"/>
  <c r="C25" i="14"/>
  <c r="J25" i="14" s="1"/>
  <c r="K25" i="14" s="1"/>
  <c r="M25" i="14" s="1"/>
  <c r="L25" i="14" s="1"/>
  <c r="C26" i="14"/>
  <c r="J26" i="14" s="1"/>
  <c r="K26" i="14" s="1"/>
  <c r="M26" i="14" s="1"/>
  <c r="L26" i="14" s="1"/>
  <c r="C9" i="13"/>
  <c r="J9" i="13" s="1"/>
  <c r="K9" i="13" s="1"/>
  <c r="M9" i="13" s="1"/>
  <c r="L9" i="13" s="1"/>
  <c r="C10" i="13"/>
  <c r="J10" i="13" s="1"/>
  <c r="K10" i="13" s="1"/>
  <c r="M10" i="13" s="1"/>
  <c r="L10" i="13" s="1"/>
  <c r="C11" i="13"/>
  <c r="J11" i="13" s="1"/>
  <c r="K11" i="13" s="1"/>
  <c r="M11" i="13" s="1"/>
  <c r="L11" i="13" s="1"/>
  <c r="C12" i="13"/>
  <c r="J12" i="13" s="1"/>
  <c r="K12" i="13" s="1"/>
  <c r="M12" i="13" s="1"/>
  <c r="L12" i="13" s="1"/>
  <c r="C13" i="13"/>
  <c r="J13" i="13" s="1"/>
  <c r="K13" i="13" s="1"/>
  <c r="M13" i="13" s="1"/>
  <c r="L13" i="13" s="1"/>
  <c r="C14" i="13"/>
  <c r="J14" i="13" s="1"/>
  <c r="K14" i="13" s="1"/>
  <c r="M14" i="13" s="1"/>
  <c r="L14" i="13" s="1"/>
  <c r="C15" i="13"/>
  <c r="J15" i="13" s="1"/>
  <c r="K15" i="13" s="1"/>
  <c r="M15" i="13" s="1"/>
  <c r="L15" i="13" s="1"/>
  <c r="C16" i="13"/>
  <c r="J16" i="13" s="1"/>
  <c r="K16" i="13" s="1"/>
  <c r="M16" i="13" s="1"/>
  <c r="L16" i="13" s="1"/>
  <c r="C17" i="13"/>
  <c r="J17" i="13" s="1"/>
  <c r="K17" i="13" s="1"/>
  <c r="M17" i="13" s="1"/>
  <c r="L17" i="13" s="1"/>
  <c r="C18" i="13"/>
  <c r="J18" i="13" s="1"/>
  <c r="K18" i="13" s="1"/>
  <c r="M18" i="13" s="1"/>
  <c r="L18" i="13" s="1"/>
  <c r="C19" i="13"/>
  <c r="J19" i="13" s="1"/>
  <c r="K19" i="13" s="1"/>
  <c r="M19" i="13" s="1"/>
  <c r="L19" i="13" s="1"/>
  <c r="C20" i="13"/>
  <c r="J20" i="13" s="1"/>
  <c r="K20" i="13" s="1"/>
  <c r="M20" i="13" s="1"/>
  <c r="L20" i="13" s="1"/>
  <c r="C21" i="13"/>
  <c r="J21" i="13" s="1"/>
  <c r="K21" i="13" s="1"/>
  <c r="M21" i="13" s="1"/>
  <c r="L21" i="13" s="1"/>
  <c r="C22" i="13"/>
  <c r="J22" i="13" s="1"/>
  <c r="K22" i="13" s="1"/>
  <c r="M22" i="13" s="1"/>
  <c r="L22" i="13" s="1"/>
  <c r="C23" i="13"/>
  <c r="J23" i="13" s="1"/>
  <c r="K23" i="13" s="1"/>
  <c r="M23" i="13" s="1"/>
  <c r="L23" i="13" s="1"/>
  <c r="C24" i="13"/>
  <c r="J24" i="13" s="1"/>
  <c r="K24" i="13" s="1"/>
  <c r="M24" i="13" s="1"/>
  <c r="L24" i="13" s="1"/>
  <c r="C25" i="13"/>
  <c r="J25" i="13" s="1"/>
  <c r="K25" i="13" s="1"/>
  <c r="M25" i="13" s="1"/>
  <c r="L25" i="13" s="1"/>
  <c r="C26" i="13"/>
  <c r="J26" i="13" s="1"/>
  <c r="K26" i="13" s="1"/>
  <c r="M26" i="13" s="1"/>
  <c r="L26" i="13" s="1"/>
  <c r="C9" i="12"/>
  <c r="J9" i="12" s="1"/>
  <c r="K9" i="12" s="1"/>
  <c r="M9" i="12" s="1"/>
  <c r="L9" i="12" s="1"/>
  <c r="C10" i="12"/>
  <c r="J10" i="12" s="1"/>
  <c r="K10" i="12" s="1"/>
  <c r="M10" i="12" s="1"/>
  <c r="L10" i="12" s="1"/>
  <c r="C11" i="12"/>
  <c r="J11" i="12" s="1"/>
  <c r="K11" i="12" s="1"/>
  <c r="M11" i="12" s="1"/>
  <c r="L11" i="12" s="1"/>
  <c r="C12" i="12"/>
  <c r="J12" i="12" s="1"/>
  <c r="K12" i="12" s="1"/>
  <c r="M12" i="12" s="1"/>
  <c r="L12" i="12" s="1"/>
  <c r="C13" i="12"/>
  <c r="J13" i="12" s="1"/>
  <c r="K13" i="12" s="1"/>
  <c r="M13" i="12" s="1"/>
  <c r="L13" i="12" s="1"/>
  <c r="C14" i="12"/>
  <c r="J14" i="12" s="1"/>
  <c r="K14" i="12" s="1"/>
  <c r="M14" i="12" s="1"/>
  <c r="L14" i="12" s="1"/>
  <c r="C15" i="12"/>
  <c r="J15" i="12" s="1"/>
  <c r="K15" i="12" s="1"/>
  <c r="M15" i="12" s="1"/>
  <c r="L15" i="12" s="1"/>
  <c r="C16" i="12"/>
  <c r="J16" i="12" s="1"/>
  <c r="K16" i="12" s="1"/>
  <c r="M16" i="12" s="1"/>
  <c r="L16" i="12" s="1"/>
  <c r="C17" i="12"/>
  <c r="J17" i="12" s="1"/>
  <c r="K17" i="12" s="1"/>
  <c r="M17" i="12" s="1"/>
  <c r="L17" i="12" s="1"/>
  <c r="C18" i="12"/>
  <c r="J18" i="12" s="1"/>
  <c r="K18" i="12" s="1"/>
  <c r="M18" i="12" s="1"/>
  <c r="L18" i="12" s="1"/>
  <c r="C19" i="12"/>
  <c r="J19" i="12" s="1"/>
  <c r="K19" i="12" s="1"/>
  <c r="M19" i="12" s="1"/>
  <c r="L19" i="12" s="1"/>
  <c r="C20" i="12"/>
  <c r="J20" i="12" s="1"/>
  <c r="K20" i="12" s="1"/>
  <c r="M20" i="12" s="1"/>
  <c r="L20" i="12" s="1"/>
  <c r="C21" i="12"/>
  <c r="J21" i="12" s="1"/>
  <c r="K21" i="12" s="1"/>
  <c r="M21" i="12" s="1"/>
  <c r="L21" i="12" s="1"/>
  <c r="C22" i="12"/>
  <c r="J22" i="12" s="1"/>
  <c r="K22" i="12" s="1"/>
  <c r="M22" i="12" s="1"/>
  <c r="L22" i="12" s="1"/>
  <c r="C23" i="12"/>
  <c r="J23" i="12" s="1"/>
  <c r="K23" i="12" s="1"/>
  <c r="M23" i="12" s="1"/>
  <c r="L23" i="12" s="1"/>
  <c r="C24" i="12"/>
  <c r="J24" i="12" s="1"/>
  <c r="K24" i="12" s="1"/>
  <c r="M24" i="12" s="1"/>
  <c r="L24" i="12" s="1"/>
  <c r="C25" i="12"/>
  <c r="J25" i="12" s="1"/>
  <c r="K25" i="12" s="1"/>
  <c r="M25" i="12" s="1"/>
  <c r="L25" i="12" s="1"/>
  <c r="C26" i="12"/>
  <c r="J26" i="12" s="1"/>
  <c r="K26" i="12" s="1"/>
  <c r="M26" i="12" s="1"/>
  <c r="L26" i="12" s="1"/>
  <c r="C9" i="11"/>
  <c r="J9" i="11" s="1"/>
  <c r="K9" i="11" s="1"/>
  <c r="M9" i="11" s="1"/>
  <c r="L9" i="11" s="1"/>
  <c r="C10" i="11"/>
  <c r="J10" i="11" s="1"/>
  <c r="K10" i="11" s="1"/>
  <c r="M10" i="11" s="1"/>
  <c r="L10" i="11" s="1"/>
  <c r="C11" i="11"/>
  <c r="J11" i="11" s="1"/>
  <c r="K11" i="11" s="1"/>
  <c r="M11" i="11" s="1"/>
  <c r="L11" i="11" s="1"/>
  <c r="C12" i="11"/>
  <c r="J12" i="11" s="1"/>
  <c r="K12" i="11" s="1"/>
  <c r="M12" i="11" s="1"/>
  <c r="L12" i="11" s="1"/>
  <c r="C13" i="11"/>
  <c r="J13" i="11" s="1"/>
  <c r="K13" i="11" s="1"/>
  <c r="M13" i="11" s="1"/>
  <c r="L13" i="11" s="1"/>
  <c r="C14" i="11"/>
  <c r="J14" i="11" s="1"/>
  <c r="K14" i="11" s="1"/>
  <c r="M14" i="11" s="1"/>
  <c r="L14" i="11" s="1"/>
  <c r="C15" i="11"/>
  <c r="J15" i="11" s="1"/>
  <c r="K15" i="11" s="1"/>
  <c r="M15" i="11" s="1"/>
  <c r="L15" i="11" s="1"/>
  <c r="C16" i="11"/>
  <c r="J16" i="11" s="1"/>
  <c r="K16" i="11" s="1"/>
  <c r="M16" i="11" s="1"/>
  <c r="L16" i="11" s="1"/>
  <c r="C17" i="11"/>
  <c r="J17" i="11" s="1"/>
  <c r="K17" i="11" s="1"/>
  <c r="M17" i="11" s="1"/>
  <c r="L17" i="11" s="1"/>
  <c r="C18" i="11"/>
  <c r="J18" i="11" s="1"/>
  <c r="K18" i="11" s="1"/>
  <c r="M18" i="11" s="1"/>
  <c r="L18" i="11" s="1"/>
  <c r="C19" i="11"/>
  <c r="J19" i="11" s="1"/>
  <c r="K19" i="11" s="1"/>
  <c r="M19" i="11" s="1"/>
  <c r="L19" i="11" s="1"/>
  <c r="C20" i="11"/>
  <c r="J20" i="11" s="1"/>
  <c r="K20" i="11" s="1"/>
  <c r="M20" i="11" s="1"/>
  <c r="L20" i="11" s="1"/>
  <c r="C21" i="11"/>
  <c r="J21" i="11" s="1"/>
  <c r="K21" i="11" s="1"/>
  <c r="M21" i="11" s="1"/>
  <c r="L21" i="11" s="1"/>
  <c r="C22" i="11"/>
  <c r="J22" i="11" s="1"/>
  <c r="K22" i="11" s="1"/>
  <c r="M22" i="11" s="1"/>
  <c r="L22" i="11" s="1"/>
  <c r="C23" i="11"/>
  <c r="J23" i="11" s="1"/>
  <c r="K23" i="11" s="1"/>
  <c r="M23" i="11" s="1"/>
  <c r="L23" i="11" s="1"/>
  <c r="C24" i="11"/>
  <c r="J24" i="11" s="1"/>
  <c r="K24" i="11" s="1"/>
  <c r="M24" i="11" s="1"/>
  <c r="L24" i="11" s="1"/>
  <c r="C25" i="11"/>
  <c r="J25" i="11" s="1"/>
  <c r="K25" i="11" s="1"/>
  <c r="M25" i="11" s="1"/>
  <c r="L25" i="11" s="1"/>
  <c r="C26" i="11"/>
  <c r="J26" i="11" s="1"/>
  <c r="K26" i="11" s="1"/>
  <c r="M26" i="11" s="1"/>
  <c r="L26" i="11" s="1"/>
  <c r="C9" i="10"/>
  <c r="J9" i="10" s="1"/>
  <c r="K9" i="10" s="1"/>
  <c r="M9" i="10" s="1"/>
  <c r="L9" i="10" s="1"/>
  <c r="C10" i="10"/>
  <c r="J10" i="10" s="1"/>
  <c r="K10" i="10" s="1"/>
  <c r="M10" i="10" s="1"/>
  <c r="L10" i="10" s="1"/>
  <c r="C11" i="10"/>
  <c r="J11" i="10" s="1"/>
  <c r="K11" i="10" s="1"/>
  <c r="M11" i="10" s="1"/>
  <c r="L11" i="10" s="1"/>
  <c r="C12" i="10"/>
  <c r="J12" i="10" s="1"/>
  <c r="K12" i="10" s="1"/>
  <c r="M12" i="10" s="1"/>
  <c r="L12" i="10" s="1"/>
  <c r="C13" i="10"/>
  <c r="J13" i="10" s="1"/>
  <c r="K13" i="10" s="1"/>
  <c r="M13" i="10" s="1"/>
  <c r="L13" i="10" s="1"/>
  <c r="C14" i="10"/>
  <c r="J14" i="10" s="1"/>
  <c r="K14" i="10" s="1"/>
  <c r="M14" i="10" s="1"/>
  <c r="L14" i="10" s="1"/>
  <c r="C15" i="10"/>
  <c r="J15" i="10" s="1"/>
  <c r="K15" i="10" s="1"/>
  <c r="M15" i="10" s="1"/>
  <c r="L15" i="10" s="1"/>
  <c r="C16" i="10"/>
  <c r="J16" i="10" s="1"/>
  <c r="K16" i="10" s="1"/>
  <c r="M16" i="10" s="1"/>
  <c r="L16" i="10" s="1"/>
  <c r="C17" i="10"/>
  <c r="J17" i="10" s="1"/>
  <c r="K17" i="10" s="1"/>
  <c r="M17" i="10" s="1"/>
  <c r="L17" i="10" s="1"/>
  <c r="C18" i="10"/>
  <c r="J18" i="10" s="1"/>
  <c r="K18" i="10" s="1"/>
  <c r="M18" i="10" s="1"/>
  <c r="L18" i="10" s="1"/>
  <c r="C19" i="10"/>
  <c r="J19" i="10" s="1"/>
  <c r="K19" i="10" s="1"/>
  <c r="M19" i="10" s="1"/>
  <c r="L19" i="10" s="1"/>
  <c r="C20" i="10"/>
  <c r="J20" i="10" s="1"/>
  <c r="K20" i="10" s="1"/>
  <c r="M20" i="10" s="1"/>
  <c r="L20" i="10" s="1"/>
  <c r="C21" i="10"/>
  <c r="J21" i="10" s="1"/>
  <c r="K21" i="10" s="1"/>
  <c r="M21" i="10" s="1"/>
  <c r="L21" i="10" s="1"/>
  <c r="C22" i="10"/>
  <c r="J22" i="10" s="1"/>
  <c r="K22" i="10" s="1"/>
  <c r="M22" i="10" s="1"/>
  <c r="L22" i="10" s="1"/>
  <c r="C23" i="10"/>
  <c r="J23" i="10" s="1"/>
  <c r="K23" i="10" s="1"/>
  <c r="M23" i="10" s="1"/>
  <c r="L23" i="10" s="1"/>
  <c r="C24" i="10"/>
  <c r="J24" i="10" s="1"/>
  <c r="K24" i="10" s="1"/>
  <c r="M24" i="10" s="1"/>
  <c r="L24" i="10" s="1"/>
  <c r="C25" i="10"/>
  <c r="J25" i="10" s="1"/>
  <c r="K25" i="10" s="1"/>
  <c r="M25" i="10" s="1"/>
  <c r="L25" i="10" s="1"/>
  <c r="C26" i="10"/>
  <c r="J26" i="10" s="1"/>
  <c r="K26" i="10" s="1"/>
  <c r="M26" i="10" s="1"/>
  <c r="L26" i="10" s="1"/>
  <c r="C9" i="9"/>
  <c r="J9" i="9" s="1"/>
  <c r="K9" i="9" s="1"/>
  <c r="M9" i="9" s="1"/>
  <c r="L9" i="9" s="1"/>
  <c r="C10" i="9"/>
  <c r="J10" i="9" s="1"/>
  <c r="K10" i="9" s="1"/>
  <c r="M10" i="9" s="1"/>
  <c r="L10" i="9" s="1"/>
  <c r="C11" i="9"/>
  <c r="J11" i="9" s="1"/>
  <c r="K11" i="9" s="1"/>
  <c r="M11" i="9" s="1"/>
  <c r="L11" i="9" s="1"/>
  <c r="C12" i="9"/>
  <c r="J12" i="9" s="1"/>
  <c r="K12" i="9" s="1"/>
  <c r="M12" i="9" s="1"/>
  <c r="L12" i="9" s="1"/>
  <c r="C13" i="9"/>
  <c r="J13" i="9" s="1"/>
  <c r="K13" i="9" s="1"/>
  <c r="M13" i="9" s="1"/>
  <c r="L13" i="9" s="1"/>
  <c r="C14" i="9"/>
  <c r="J14" i="9" s="1"/>
  <c r="K14" i="9" s="1"/>
  <c r="M14" i="9" s="1"/>
  <c r="L14" i="9" s="1"/>
  <c r="C15" i="9"/>
  <c r="J15" i="9" s="1"/>
  <c r="K15" i="9" s="1"/>
  <c r="M15" i="9" s="1"/>
  <c r="L15" i="9" s="1"/>
  <c r="C16" i="9"/>
  <c r="J16" i="9" s="1"/>
  <c r="K16" i="9" s="1"/>
  <c r="M16" i="9" s="1"/>
  <c r="L16" i="9" s="1"/>
  <c r="C17" i="9"/>
  <c r="J17" i="9" s="1"/>
  <c r="K17" i="9" s="1"/>
  <c r="M17" i="9" s="1"/>
  <c r="L17" i="9" s="1"/>
  <c r="C18" i="9"/>
  <c r="J18" i="9" s="1"/>
  <c r="K18" i="9" s="1"/>
  <c r="M18" i="9" s="1"/>
  <c r="L18" i="9" s="1"/>
  <c r="C19" i="9"/>
  <c r="J19" i="9" s="1"/>
  <c r="K19" i="9" s="1"/>
  <c r="M19" i="9" s="1"/>
  <c r="L19" i="9" s="1"/>
  <c r="C20" i="9"/>
  <c r="J20" i="9" s="1"/>
  <c r="K20" i="9" s="1"/>
  <c r="M20" i="9" s="1"/>
  <c r="L20" i="9" s="1"/>
  <c r="C21" i="9"/>
  <c r="J21" i="9" s="1"/>
  <c r="K21" i="9" s="1"/>
  <c r="M21" i="9" s="1"/>
  <c r="L21" i="9" s="1"/>
  <c r="C22" i="9"/>
  <c r="J22" i="9" s="1"/>
  <c r="K22" i="9" s="1"/>
  <c r="M22" i="9" s="1"/>
  <c r="L22" i="9" s="1"/>
  <c r="C23" i="9"/>
  <c r="J23" i="9" s="1"/>
  <c r="K23" i="9" s="1"/>
  <c r="M23" i="9" s="1"/>
  <c r="L23" i="9" s="1"/>
  <c r="C24" i="9"/>
  <c r="J24" i="9" s="1"/>
  <c r="K24" i="9" s="1"/>
  <c r="M24" i="9" s="1"/>
  <c r="L24" i="9" s="1"/>
  <c r="C25" i="9"/>
  <c r="J25" i="9" s="1"/>
  <c r="K25" i="9" s="1"/>
  <c r="M25" i="9" s="1"/>
  <c r="L25" i="9" s="1"/>
  <c r="C26" i="9"/>
  <c r="J26" i="9" s="1"/>
  <c r="K26" i="9" s="1"/>
  <c r="M26" i="9" s="1"/>
  <c r="L26" i="9" s="1"/>
  <c r="C9" i="8"/>
  <c r="J9" i="8" s="1"/>
  <c r="K9" i="8" s="1"/>
  <c r="M9" i="8" s="1"/>
  <c r="L9" i="8" s="1"/>
  <c r="C10" i="8"/>
  <c r="J10" i="8" s="1"/>
  <c r="K10" i="8" s="1"/>
  <c r="M10" i="8" s="1"/>
  <c r="L10" i="8" s="1"/>
  <c r="C11" i="8"/>
  <c r="J11" i="8" s="1"/>
  <c r="K11" i="8" s="1"/>
  <c r="M11" i="8" s="1"/>
  <c r="L11" i="8" s="1"/>
  <c r="C12" i="8"/>
  <c r="J12" i="8" s="1"/>
  <c r="K12" i="8" s="1"/>
  <c r="M12" i="8" s="1"/>
  <c r="L12" i="8" s="1"/>
  <c r="C13" i="8"/>
  <c r="J13" i="8" s="1"/>
  <c r="K13" i="8" s="1"/>
  <c r="M13" i="8" s="1"/>
  <c r="L13" i="8" s="1"/>
  <c r="C14" i="8"/>
  <c r="J14" i="8" s="1"/>
  <c r="K14" i="8" s="1"/>
  <c r="M14" i="8" s="1"/>
  <c r="L14" i="8" s="1"/>
  <c r="C15" i="8"/>
  <c r="J15" i="8" s="1"/>
  <c r="K15" i="8" s="1"/>
  <c r="M15" i="8" s="1"/>
  <c r="L15" i="8" s="1"/>
  <c r="C16" i="8"/>
  <c r="J16" i="8" s="1"/>
  <c r="K16" i="8" s="1"/>
  <c r="M16" i="8" s="1"/>
  <c r="L16" i="8" s="1"/>
  <c r="C17" i="8"/>
  <c r="J17" i="8" s="1"/>
  <c r="K17" i="8" s="1"/>
  <c r="M17" i="8" s="1"/>
  <c r="L17" i="8" s="1"/>
  <c r="C18" i="8"/>
  <c r="J18" i="8" s="1"/>
  <c r="K18" i="8" s="1"/>
  <c r="M18" i="8" s="1"/>
  <c r="L18" i="8" s="1"/>
  <c r="C19" i="8"/>
  <c r="J19" i="8" s="1"/>
  <c r="K19" i="8" s="1"/>
  <c r="M19" i="8" s="1"/>
  <c r="L19" i="8" s="1"/>
  <c r="C20" i="8"/>
  <c r="J20" i="8" s="1"/>
  <c r="K20" i="8" s="1"/>
  <c r="M20" i="8" s="1"/>
  <c r="L20" i="8" s="1"/>
  <c r="C21" i="8"/>
  <c r="J21" i="8" s="1"/>
  <c r="K21" i="8" s="1"/>
  <c r="M21" i="8" s="1"/>
  <c r="L21" i="8" s="1"/>
  <c r="C22" i="8"/>
  <c r="J22" i="8" s="1"/>
  <c r="K22" i="8" s="1"/>
  <c r="M22" i="8" s="1"/>
  <c r="L22" i="8" s="1"/>
  <c r="C23" i="8"/>
  <c r="J23" i="8" s="1"/>
  <c r="K23" i="8" s="1"/>
  <c r="M23" i="8" s="1"/>
  <c r="L23" i="8" s="1"/>
  <c r="C24" i="8"/>
  <c r="J24" i="8" s="1"/>
  <c r="K24" i="8" s="1"/>
  <c r="M24" i="8" s="1"/>
  <c r="L24" i="8" s="1"/>
  <c r="C25" i="8"/>
  <c r="J25" i="8" s="1"/>
  <c r="K25" i="8" s="1"/>
  <c r="M25" i="8" s="1"/>
  <c r="L25" i="8" s="1"/>
  <c r="C26" i="8"/>
  <c r="J26" i="8" s="1"/>
  <c r="K26" i="8" s="1"/>
  <c r="M26" i="8" s="1"/>
  <c r="L26" i="8" s="1"/>
  <c r="C9" i="7"/>
  <c r="J9" i="7" s="1"/>
  <c r="K9" i="7" s="1"/>
  <c r="M9" i="7" s="1"/>
  <c r="L9" i="7" s="1"/>
  <c r="C10" i="7"/>
  <c r="J10" i="7" s="1"/>
  <c r="K10" i="7" s="1"/>
  <c r="M10" i="7" s="1"/>
  <c r="L10" i="7" s="1"/>
  <c r="C11" i="7"/>
  <c r="J11" i="7" s="1"/>
  <c r="K11" i="7" s="1"/>
  <c r="M11" i="7" s="1"/>
  <c r="L11" i="7" s="1"/>
  <c r="C12" i="7"/>
  <c r="J12" i="7" s="1"/>
  <c r="K12" i="7" s="1"/>
  <c r="M12" i="7" s="1"/>
  <c r="L12" i="7" s="1"/>
  <c r="C13" i="7"/>
  <c r="J13" i="7" s="1"/>
  <c r="K13" i="7" s="1"/>
  <c r="M13" i="7" s="1"/>
  <c r="L13" i="7" s="1"/>
  <c r="C14" i="7"/>
  <c r="J14" i="7" s="1"/>
  <c r="K14" i="7" s="1"/>
  <c r="M14" i="7" s="1"/>
  <c r="L14" i="7" s="1"/>
  <c r="C15" i="7"/>
  <c r="J15" i="7" s="1"/>
  <c r="K15" i="7" s="1"/>
  <c r="M15" i="7" s="1"/>
  <c r="L15" i="7" s="1"/>
  <c r="C16" i="7"/>
  <c r="J16" i="7" s="1"/>
  <c r="K16" i="7" s="1"/>
  <c r="M16" i="7" s="1"/>
  <c r="L16" i="7" s="1"/>
  <c r="C17" i="7"/>
  <c r="J17" i="7" s="1"/>
  <c r="K17" i="7" s="1"/>
  <c r="M17" i="7" s="1"/>
  <c r="L17" i="7" s="1"/>
  <c r="C18" i="7"/>
  <c r="J18" i="7" s="1"/>
  <c r="K18" i="7" s="1"/>
  <c r="M18" i="7" s="1"/>
  <c r="L18" i="7" s="1"/>
  <c r="C19" i="7"/>
  <c r="J19" i="7" s="1"/>
  <c r="K19" i="7" s="1"/>
  <c r="M19" i="7" s="1"/>
  <c r="L19" i="7" s="1"/>
  <c r="C20" i="7"/>
  <c r="J20" i="7" s="1"/>
  <c r="K20" i="7" s="1"/>
  <c r="M20" i="7" s="1"/>
  <c r="L20" i="7" s="1"/>
  <c r="C21" i="7"/>
  <c r="J21" i="7" s="1"/>
  <c r="K21" i="7" s="1"/>
  <c r="M21" i="7" s="1"/>
  <c r="L21" i="7" s="1"/>
  <c r="C22" i="7"/>
  <c r="J22" i="7" s="1"/>
  <c r="K22" i="7" s="1"/>
  <c r="M22" i="7" s="1"/>
  <c r="L22" i="7" s="1"/>
  <c r="C23" i="7"/>
  <c r="J23" i="7" s="1"/>
  <c r="K23" i="7" s="1"/>
  <c r="M23" i="7" s="1"/>
  <c r="L23" i="7" s="1"/>
  <c r="C24" i="7"/>
  <c r="J24" i="7" s="1"/>
  <c r="K24" i="7" s="1"/>
  <c r="M24" i="7" s="1"/>
  <c r="L24" i="7" s="1"/>
  <c r="C25" i="7"/>
  <c r="J25" i="7" s="1"/>
  <c r="K25" i="7" s="1"/>
  <c r="M25" i="7" s="1"/>
  <c r="L25" i="7" s="1"/>
  <c r="C26" i="7"/>
  <c r="J26" i="7" s="1"/>
  <c r="K26" i="7" s="1"/>
  <c r="M26" i="7" s="1"/>
  <c r="L26" i="7" s="1"/>
  <c r="C9" i="29"/>
  <c r="J9" i="29" s="1"/>
  <c r="K9" i="29" s="1"/>
  <c r="M9" i="29" s="1"/>
  <c r="L9" i="29" s="1"/>
  <c r="C10" i="29"/>
  <c r="J10" i="29" s="1"/>
  <c r="K10" i="29" s="1"/>
  <c r="M10" i="29" s="1"/>
  <c r="L10" i="29" s="1"/>
  <c r="C11" i="29"/>
  <c r="J11" i="29" s="1"/>
  <c r="K11" i="29" s="1"/>
  <c r="M11" i="29" s="1"/>
  <c r="L11" i="29" s="1"/>
  <c r="C12" i="29"/>
  <c r="J12" i="29" s="1"/>
  <c r="K12" i="29" s="1"/>
  <c r="M12" i="29" s="1"/>
  <c r="L12" i="29" s="1"/>
  <c r="C13" i="29"/>
  <c r="J13" i="29" s="1"/>
  <c r="K13" i="29" s="1"/>
  <c r="M13" i="29" s="1"/>
  <c r="L13" i="29" s="1"/>
  <c r="C14" i="29"/>
  <c r="J14" i="29" s="1"/>
  <c r="K14" i="29" s="1"/>
  <c r="M14" i="29" s="1"/>
  <c r="L14" i="29" s="1"/>
  <c r="C15" i="29"/>
  <c r="J15" i="29" s="1"/>
  <c r="K15" i="29" s="1"/>
  <c r="M15" i="29" s="1"/>
  <c r="L15" i="29" s="1"/>
  <c r="C16" i="29"/>
  <c r="J16" i="29" s="1"/>
  <c r="K16" i="29" s="1"/>
  <c r="M16" i="29" s="1"/>
  <c r="L16" i="29" s="1"/>
  <c r="C17" i="29"/>
  <c r="J17" i="29" s="1"/>
  <c r="K17" i="29" s="1"/>
  <c r="M17" i="29" s="1"/>
  <c r="L17" i="29" s="1"/>
  <c r="C18" i="29"/>
  <c r="J18" i="29" s="1"/>
  <c r="K18" i="29" s="1"/>
  <c r="M18" i="29" s="1"/>
  <c r="L18" i="29" s="1"/>
  <c r="C19" i="29"/>
  <c r="J19" i="29" s="1"/>
  <c r="K19" i="29" s="1"/>
  <c r="M19" i="29" s="1"/>
  <c r="L19" i="29" s="1"/>
  <c r="C20" i="29"/>
  <c r="J20" i="29" s="1"/>
  <c r="K20" i="29" s="1"/>
  <c r="M20" i="29" s="1"/>
  <c r="L20" i="29" s="1"/>
  <c r="C21" i="29"/>
  <c r="J21" i="29" s="1"/>
  <c r="K21" i="29" s="1"/>
  <c r="M21" i="29" s="1"/>
  <c r="L21" i="29" s="1"/>
  <c r="C22" i="29"/>
  <c r="J22" i="29" s="1"/>
  <c r="K22" i="29" s="1"/>
  <c r="M22" i="29" s="1"/>
  <c r="L22" i="29" s="1"/>
  <c r="C23" i="29"/>
  <c r="J23" i="29" s="1"/>
  <c r="K23" i="29" s="1"/>
  <c r="M23" i="29" s="1"/>
  <c r="L23" i="29" s="1"/>
  <c r="C24" i="29"/>
  <c r="J24" i="29" s="1"/>
  <c r="K24" i="29" s="1"/>
  <c r="M24" i="29" s="1"/>
  <c r="L24" i="29" s="1"/>
  <c r="C25" i="29"/>
  <c r="J25" i="29" s="1"/>
  <c r="K25" i="29" s="1"/>
  <c r="M25" i="29" s="1"/>
  <c r="L25" i="29" s="1"/>
  <c r="C26" i="29"/>
  <c r="J26" i="29" s="1"/>
  <c r="K26" i="29" s="1"/>
  <c r="M26" i="29" s="1"/>
  <c r="L26" i="29" s="1"/>
  <c r="C9" i="6"/>
  <c r="J9" i="6" s="1"/>
  <c r="K9" i="6" s="1"/>
  <c r="M9" i="6" s="1"/>
  <c r="L9" i="6" s="1"/>
  <c r="C10" i="6"/>
  <c r="J10" i="6" s="1"/>
  <c r="K10" i="6" s="1"/>
  <c r="M10" i="6" s="1"/>
  <c r="L10" i="6" s="1"/>
  <c r="C11" i="6"/>
  <c r="J11" i="6" s="1"/>
  <c r="K11" i="6" s="1"/>
  <c r="M11" i="6" s="1"/>
  <c r="L11" i="6" s="1"/>
  <c r="C12" i="6"/>
  <c r="J12" i="6" s="1"/>
  <c r="K12" i="6" s="1"/>
  <c r="M12" i="6" s="1"/>
  <c r="L12" i="6" s="1"/>
  <c r="C13" i="6"/>
  <c r="J13" i="6" s="1"/>
  <c r="K13" i="6" s="1"/>
  <c r="M13" i="6" s="1"/>
  <c r="L13" i="6" s="1"/>
  <c r="C14" i="6"/>
  <c r="J14" i="6" s="1"/>
  <c r="K14" i="6" s="1"/>
  <c r="M14" i="6" s="1"/>
  <c r="L14" i="6" s="1"/>
  <c r="C15" i="6"/>
  <c r="J15" i="6" s="1"/>
  <c r="K15" i="6" s="1"/>
  <c r="M15" i="6" s="1"/>
  <c r="L15" i="6" s="1"/>
  <c r="C16" i="6"/>
  <c r="J16" i="6" s="1"/>
  <c r="K16" i="6" s="1"/>
  <c r="M16" i="6" s="1"/>
  <c r="L16" i="6" s="1"/>
  <c r="C17" i="6"/>
  <c r="J17" i="6" s="1"/>
  <c r="K17" i="6" s="1"/>
  <c r="M17" i="6" s="1"/>
  <c r="L17" i="6" s="1"/>
  <c r="C18" i="6"/>
  <c r="J18" i="6" s="1"/>
  <c r="K18" i="6" s="1"/>
  <c r="M18" i="6" s="1"/>
  <c r="L18" i="6" s="1"/>
  <c r="C19" i="6"/>
  <c r="J19" i="6" s="1"/>
  <c r="K19" i="6" s="1"/>
  <c r="M19" i="6" s="1"/>
  <c r="L19" i="6" s="1"/>
  <c r="C20" i="6"/>
  <c r="J20" i="6" s="1"/>
  <c r="K20" i="6" s="1"/>
  <c r="M20" i="6" s="1"/>
  <c r="L20" i="6" s="1"/>
  <c r="C21" i="6"/>
  <c r="J21" i="6" s="1"/>
  <c r="K21" i="6" s="1"/>
  <c r="M21" i="6" s="1"/>
  <c r="L21" i="6" s="1"/>
  <c r="C22" i="6"/>
  <c r="J22" i="6" s="1"/>
  <c r="K22" i="6" s="1"/>
  <c r="M22" i="6" s="1"/>
  <c r="L22" i="6" s="1"/>
  <c r="C23" i="6"/>
  <c r="J23" i="6" s="1"/>
  <c r="K23" i="6" s="1"/>
  <c r="M23" i="6" s="1"/>
  <c r="L23" i="6" s="1"/>
  <c r="C24" i="6"/>
  <c r="J24" i="6" s="1"/>
  <c r="K24" i="6" s="1"/>
  <c r="M24" i="6" s="1"/>
  <c r="L24" i="6" s="1"/>
  <c r="C25" i="6"/>
  <c r="J25" i="6" s="1"/>
  <c r="K25" i="6" s="1"/>
  <c r="M25" i="6" s="1"/>
  <c r="L25" i="6" s="1"/>
  <c r="C26" i="6"/>
  <c r="J26" i="6" s="1"/>
  <c r="K26" i="6" s="1"/>
  <c r="C9" i="5"/>
  <c r="J9" i="5" s="1"/>
  <c r="K9" i="5" s="1"/>
  <c r="M9" i="5" s="1"/>
  <c r="L9" i="5" s="1"/>
  <c r="C10" i="5"/>
  <c r="J10" i="5" s="1"/>
  <c r="K10" i="5" s="1"/>
  <c r="M10" i="5" s="1"/>
  <c r="L10" i="5" s="1"/>
  <c r="C11" i="5"/>
  <c r="J11" i="5" s="1"/>
  <c r="K11" i="5" s="1"/>
  <c r="M11" i="5" s="1"/>
  <c r="L11" i="5" s="1"/>
  <c r="C12" i="5"/>
  <c r="J12" i="5" s="1"/>
  <c r="K12" i="5" s="1"/>
  <c r="M12" i="5" s="1"/>
  <c r="L12" i="5" s="1"/>
  <c r="C13" i="5"/>
  <c r="J13" i="5" s="1"/>
  <c r="K13" i="5" s="1"/>
  <c r="M13" i="5" s="1"/>
  <c r="L13" i="5" s="1"/>
  <c r="C14" i="5"/>
  <c r="J14" i="5" s="1"/>
  <c r="K14" i="5" s="1"/>
  <c r="M14" i="5" s="1"/>
  <c r="L14" i="5" s="1"/>
  <c r="C15" i="5"/>
  <c r="J15" i="5" s="1"/>
  <c r="K15" i="5" s="1"/>
  <c r="M15" i="5" s="1"/>
  <c r="L15" i="5" s="1"/>
  <c r="C16" i="5"/>
  <c r="J16" i="5" s="1"/>
  <c r="K16" i="5" s="1"/>
  <c r="M16" i="5" s="1"/>
  <c r="L16" i="5" s="1"/>
  <c r="C17" i="5"/>
  <c r="J17" i="5" s="1"/>
  <c r="K17" i="5" s="1"/>
  <c r="M17" i="5" s="1"/>
  <c r="L17" i="5" s="1"/>
  <c r="C18" i="5"/>
  <c r="J18" i="5" s="1"/>
  <c r="K18" i="5" s="1"/>
  <c r="M18" i="5" s="1"/>
  <c r="L18" i="5" s="1"/>
  <c r="C19" i="5"/>
  <c r="J19" i="5" s="1"/>
  <c r="K19" i="5" s="1"/>
  <c r="M19" i="5" s="1"/>
  <c r="L19" i="5" s="1"/>
  <c r="C20" i="5"/>
  <c r="J20" i="5" s="1"/>
  <c r="K20" i="5" s="1"/>
  <c r="M20" i="5" s="1"/>
  <c r="L20" i="5" s="1"/>
  <c r="C21" i="5"/>
  <c r="J21" i="5" s="1"/>
  <c r="K21" i="5" s="1"/>
  <c r="M21" i="5" s="1"/>
  <c r="L21" i="5" s="1"/>
  <c r="C22" i="5"/>
  <c r="J22" i="5" s="1"/>
  <c r="K22" i="5" s="1"/>
  <c r="M22" i="5" s="1"/>
  <c r="L22" i="5" s="1"/>
  <c r="C23" i="5"/>
  <c r="J23" i="5" s="1"/>
  <c r="K23" i="5" s="1"/>
  <c r="M23" i="5" s="1"/>
  <c r="L23" i="5" s="1"/>
  <c r="C24" i="5"/>
  <c r="J24" i="5" s="1"/>
  <c r="K24" i="5" s="1"/>
  <c r="M24" i="5" s="1"/>
  <c r="L24" i="5" s="1"/>
  <c r="C25" i="5"/>
  <c r="J25" i="5" s="1"/>
  <c r="K25" i="5" s="1"/>
  <c r="M25" i="5" s="1"/>
  <c r="L25" i="5" s="1"/>
  <c r="C26" i="5"/>
  <c r="J26" i="5" s="1"/>
  <c r="K26" i="5" s="1"/>
  <c r="M26" i="5" s="1"/>
  <c r="L26" i="5" s="1"/>
  <c r="C9" i="4"/>
  <c r="J9" i="4" s="1"/>
  <c r="K9" i="4" s="1"/>
  <c r="M9" i="4" s="1"/>
  <c r="L9" i="4" s="1"/>
  <c r="C10" i="4"/>
  <c r="J10" i="4" s="1"/>
  <c r="K10" i="4" s="1"/>
  <c r="M10" i="4" s="1"/>
  <c r="L10" i="4" s="1"/>
  <c r="C11" i="4"/>
  <c r="J11" i="4" s="1"/>
  <c r="K11" i="4" s="1"/>
  <c r="M11" i="4" s="1"/>
  <c r="L11" i="4" s="1"/>
  <c r="C12" i="4"/>
  <c r="J12" i="4" s="1"/>
  <c r="K12" i="4" s="1"/>
  <c r="M12" i="4" s="1"/>
  <c r="L12" i="4" s="1"/>
  <c r="C13" i="4"/>
  <c r="J13" i="4" s="1"/>
  <c r="K13" i="4" s="1"/>
  <c r="M13" i="4" s="1"/>
  <c r="L13" i="4" s="1"/>
  <c r="C14" i="4"/>
  <c r="J14" i="4" s="1"/>
  <c r="K14" i="4" s="1"/>
  <c r="M14" i="4" s="1"/>
  <c r="L14" i="4" s="1"/>
  <c r="C15" i="4"/>
  <c r="J15" i="4" s="1"/>
  <c r="K15" i="4" s="1"/>
  <c r="M15" i="4" s="1"/>
  <c r="L15" i="4" s="1"/>
  <c r="C16" i="4"/>
  <c r="J16" i="4" s="1"/>
  <c r="K16" i="4" s="1"/>
  <c r="M16" i="4" s="1"/>
  <c r="L16" i="4" s="1"/>
  <c r="C17" i="4"/>
  <c r="J17" i="4" s="1"/>
  <c r="K17" i="4" s="1"/>
  <c r="M17" i="4" s="1"/>
  <c r="L17" i="4" s="1"/>
  <c r="C18" i="4"/>
  <c r="J18" i="4" s="1"/>
  <c r="K18" i="4" s="1"/>
  <c r="M18" i="4" s="1"/>
  <c r="L18" i="4" s="1"/>
  <c r="C19" i="4"/>
  <c r="J19" i="4" s="1"/>
  <c r="K19" i="4" s="1"/>
  <c r="M19" i="4" s="1"/>
  <c r="L19" i="4" s="1"/>
  <c r="C20" i="4"/>
  <c r="J20" i="4" s="1"/>
  <c r="K20" i="4" s="1"/>
  <c r="M20" i="4" s="1"/>
  <c r="L20" i="4" s="1"/>
  <c r="C21" i="4"/>
  <c r="J21" i="4" s="1"/>
  <c r="K21" i="4" s="1"/>
  <c r="M21" i="4" s="1"/>
  <c r="L21" i="4" s="1"/>
  <c r="C22" i="4"/>
  <c r="J22" i="4" s="1"/>
  <c r="K22" i="4" s="1"/>
  <c r="M22" i="4" s="1"/>
  <c r="L22" i="4" s="1"/>
  <c r="C23" i="4"/>
  <c r="J23" i="4" s="1"/>
  <c r="K23" i="4" s="1"/>
  <c r="M23" i="4" s="1"/>
  <c r="L23" i="4" s="1"/>
  <c r="C24" i="4"/>
  <c r="J24" i="4" s="1"/>
  <c r="K24" i="4" s="1"/>
  <c r="M24" i="4" s="1"/>
  <c r="L24" i="4" s="1"/>
  <c r="C25" i="4"/>
  <c r="J25" i="4" s="1"/>
  <c r="K25" i="4" s="1"/>
  <c r="M25" i="4" s="1"/>
  <c r="L25" i="4" s="1"/>
  <c r="C26" i="4"/>
  <c r="J26" i="4" s="1"/>
  <c r="K26" i="4" s="1"/>
  <c r="M26" i="4" s="1"/>
  <c r="L26" i="4" s="1"/>
  <c r="C9" i="3"/>
  <c r="J9" i="3" s="1"/>
  <c r="K9" i="3" s="1"/>
  <c r="M9" i="3" s="1"/>
  <c r="L9" i="3" s="1"/>
  <c r="C10" i="3"/>
  <c r="J10" i="3" s="1"/>
  <c r="K10" i="3" s="1"/>
  <c r="M10" i="3" s="1"/>
  <c r="L10" i="3" s="1"/>
  <c r="C11" i="3"/>
  <c r="J11" i="3" s="1"/>
  <c r="K11" i="3" s="1"/>
  <c r="M11" i="3" s="1"/>
  <c r="L11" i="3" s="1"/>
  <c r="C12" i="3"/>
  <c r="J12" i="3" s="1"/>
  <c r="K12" i="3" s="1"/>
  <c r="M12" i="3" s="1"/>
  <c r="L12" i="3" s="1"/>
  <c r="C13" i="3"/>
  <c r="J13" i="3" s="1"/>
  <c r="K13" i="3" s="1"/>
  <c r="M13" i="3" s="1"/>
  <c r="L13" i="3" s="1"/>
  <c r="C14" i="3"/>
  <c r="J14" i="3" s="1"/>
  <c r="K14" i="3" s="1"/>
  <c r="M14" i="3" s="1"/>
  <c r="L14" i="3" s="1"/>
  <c r="C15" i="3"/>
  <c r="J15" i="3" s="1"/>
  <c r="K15" i="3" s="1"/>
  <c r="M15" i="3" s="1"/>
  <c r="L15" i="3" s="1"/>
  <c r="C16" i="3"/>
  <c r="J16" i="3" s="1"/>
  <c r="K16" i="3" s="1"/>
  <c r="M16" i="3" s="1"/>
  <c r="L16" i="3" s="1"/>
  <c r="C17" i="3"/>
  <c r="J17" i="3" s="1"/>
  <c r="K17" i="3" s="1"/>
  <c r="M17" i="3" s="1"/>
  <c r="L17" i="3" s="1"/>
  <c r="C18" i="3"/>
  <c r="J18" i="3" s="1"/>
  <c r="K18" i="3" s="1"/>
  <c r="M18" i="3" s="1"/>
  <c r="L18" i="3" s="1"/>
  <c r="C19" i="3"/>
  <c r="J19" i="3" s="1"/>
  <c r="K19" i="3" s="1"/>
  <c r="M19" i="3" s="1"/>
  <c r="L19" i="3" s="1"/>
  <c r="C20" i="3"/>
  <c r="J20" i="3" s="1"/>
  <c r="K20" i="3" s="1"/>
  <c r="M20" i="3" s="1"/>
  <c r="L20" i="3" s="1"/>
  <c r="C21" i="3"/>
  <c r="J21" i="3" s="1"/>
  <c r="K21" i="3" s="1"/>
  <c r="M21" i="3" s="1"/>
  <c r="L21" i="3" s="1"/>
  <c r="C22" i="3"/>
  <c r="J22" i="3" s="1"/>
  <c r="K22" i="3" s="1"/>
  <c r="M22" i="3" s="1"/>
  <c r="L22" i="3" s="1"/>
  <c r="C23" i="3"/>
  <c r="J23" i="3" s="1"/>
  <c r="K23" i="3" s="1"/>
  <c r="M23" i="3" s="1"/>
  <c r="L23" i="3" s="1"/>
  <c r="C24" i="3"/>
  <c r="J24" i="3" s="1"/>
  <c r="K24" i="3" s="1"/>
  <c r="M24" i="3" s="1"/>
  <c r="L24" i="3" s="1"/>
  <c r="C25" i="3"/>
  <c r="J25" i="3" s="1"/>
  <c r="K25" i="3" s="1"/>
  <c r="M25" i="3" s="1"/>
  <c r="L25" i="3" s="1"/>
  <c r="C26" i="3"/>
  <c r="J26" i="3" s="1"/>
  <c r="K26" i="3" s="1"/>
  <c r="M26" i="3" s="1"/>
  <c r="L26" i="3" s="1"/>
  <c r="C9" i="1"/>
  <c r="J9" i="1" s="1"/>
  <c r="K9" i="1" s="1"/>
  <c r="M9" i="1" s="1"/>
  <c r="L9" i="1" s="1"/>
  <c r="C10" i="1"/>
  <c r="J10" i="1" s="1"/>
  <c r="K10" i="1" s="1"/>
  <c r="M10" i="1" s="1"/>
  <c r="L10" i="1" s="1"/>
  <c r="C11" i="1"/>
  <c r="J11" i="1" s="1"/>
  <c r="K11" i="1" s="1"/>
  <c r="M11" i="1" s="1"/>
  <c r="L11" i="1" s="1"/>
  <c r="C12" i="1"/>
  <c r="J12" i="1" s="1"/>
  <c r="K12" i="1" s="1"/>
  <c r="M12" i="1" s="1"/>
  <c r="L12" i="1" s="1"/>
  <c r="C13" i="1"/>
  <c r="J13" i="1" s="1"/>
  <c r="K13" i="1" s="1"/>
  <c r="M13" i="1" s="1"/>
  <c r="L13" i="1" s="1"/>
  <c r="C14" i="1"/>
  <c r="J14" i="1" s="1"/>
  <c r="K14" i="1" s="1"/>
  <c r="M14" i="1" s="1"/>
  <c r="L14" i="1" s="1"/>
  <c r="C15" i="1"/>
  <c r="J15" i="1" s="1"/>
  <c r="K15" i="1" s="1"/>
  <c r="M15" i="1" s="1"/>
  <c r="L15" i="1" s="1"/>
  <c r="C16" i="1"/>
  <c r="J16" i="1" s="1"/>
  <c r="K16" i="1" s="1"/>
  <c r="M16" i="1" s="1"/>
  <c r="L16" i="1" s="1"/>
  <c r="C17" i="1"/>
  <c r="J17" i="1" s="1"/>
  <c r="K17" i="1" s="1"/>
  <c r="M17" i="1" s="1"/>
  <c r="L17" i="1" s="1"/>
  <c r="C18" i="1"/>
  <c r="J18" i="1" s="1"/>
  <c r="K18" i="1" s="1"/>
  <c r="M18" i="1" s="1"/>
  <c r="L18" i="1" s="1"/>
  <c r="C19" i="1"/>
  <c r="J19" i="1" s="1"/>
  <c r="K19" i="1" s="1"/>
  <c r="M19" i="1" s="1"/>
  <c r="L19" i="1" s="1"/>
  <c r="C20" i="1"/>
  <c r="J20" i="1" s="1"/>
  <c r="K20" i="1" s="1"/>
  <c r="M20" i="1" s="1"/>
  <c r="L20" i="1" s="1"/>
  <c r="C21" i="1"/>
  <c r="J21" i="1" s="1"/>
  <c r="K21" i="1" s="1"/>
  <c r="M21" i="1" s="1"/>
  <c r="L21" i="1" s="1"/>
  <c r="C22" i="1"/>
  <c r="J22" i="1" s="1"/>
  <c r="K22" i="1" s="1"/>
  <c r="M22" i="1" s="1"/>
  <c r="L22" i="1" s="1"/>
  <c r="C23" i="1"/>
  <c r="J23" i="1" s="1"/>
  <c r="K23" i="1" s="1"/>
  <c r="M23" i="1" s="1"/>
  <c r="L23" i="1" s="1"/>
  <c r="C24" i="1"/>
  <c r="J24" i="1" s="1"/>
  <c r="K24" i="1" s="1"/>
  <c r="M24" i="1" s="1"/>
  <c r="L24" i="1" s="1"/>
  <c r="C25" i="1"/>
  <c r="J25" i="1" s="1"/>
  <c r="K25" i="1" s="1"/>
  <c r="M25" i="1" s="1"/>
  <c r="L25" i="1" s="1"/>
  <c r="C26" i="1"/>
  <c r="J26" i="1" s="1"/>
  <c r="K26" i="1" s="1"/>
  <c r="M26" i="1" s="1"/>
  <c r="L26" i="1" s="1"/>
  <c r="U25" i="1"/>
  <c r="R25" i="1"/>
  <c r="X25" i="1" s="1"/>
  <c r="N8" i="25"/>
  <c r="O8" i="25" s="1"/>
  <c r="N8" i="23"/>
  <c r="N8" i="21"/>
  <c r="N8" i="20"/>
  <c r="O8" i="30"/>
  <c r="N8" i="30"/>
  <c r="N8" i="28"/>
  <c r="N8" i="19"/>
  <c r="N8" i="18"/>
  <c r="N8" i="17"/>
  <c r="N8" i="27"/>
  <c r="N8" i="24"/>
  <c r="O8" i="24" s="1"/>
  <c r="N8" i="15"/>
  <c r="N8" i="14"/>
  <c r="N8" i="13"/>
  <c r="N8" i="12"/>
  <c r="N8" i="11"/>
  <c r="O8" i="11" s="1"/>
  <c r="N8" i="10"/>
  <c r="N8" i="9"/>
  <c r="N8" i="8"/>
  <c r="N8" i="7"/>
  <c r="N8" i="29"/>
  <c r="N8" i="6"/>
  <c r="N8" i="5"/>
  <c r="O8" i="5" s="1"/>
  <c r="N8" i="4"/>
  <c r="H8" i="25"/>
  <c r="C8" i="25"/>
  <c r="J8" i="25" s="1"/>
  <c r="H8" i="23"/>
  <c r="C8" i="23"/>
  <c r="J8" i="23" s="1"/>
  <c r="H8" i="21"/>
  <c r="C8" i="21"/>
  <c r="J8" i="21" s="1"/>
  <c r="H8" i="20"/>
  <c r="C8" i="20"/>
  <c r="J8" i="20" s="1"/>
  <c r="H8" i="30"/>
  <c r="C8" i="30"/>
  <c r="J8" i="30" s="1"/>
  <c r="H8" i="28"/>
  <c r="C8" i="28"/>
  <c r="J8" i="28" s="1"/>
  <c r="H8" i="19"/>
  <c r="C8" i="19"/>
  <c r="J8" i="19" s="1"/>
  <c r="H8" i="18"/>
  <c r="C8" i="18"/>
  <c r="J8" i="18" s="1"/>
  <c r="H8" i="17"/>
  <c r="O8" i="17" s="1"/>
  <c r="C8" i="17"/>
  <c r="J8" i="17" s="1"/>
  <c r="H8" i="27"/>
  <c r="C8" i="27"/>
  <c r="J8" i="27" s="1"/>
  <c r="H8" i="24"/>
  <c r="C8" i="24"/>
  <c r="J8" i="24" s="1"/>
  <c r="H8" i="15"/>
  <c r="C8" i="15"/>
  <c r="J8" i="15" s="1"/>
  <c r="H8" i="14"/>
  <c r="C8" i="14"/>
  <c r="J8" i="14" s="1"/>
  <c r="H8" i="13"/>
  <c r="C8" i="13"/>
  <c r="J8" i="13" s="1"/>
  <c r="H8" i="12"/>
  <c r="O8" i="12" s="1"/>
  <c r="C8" i="12"/>
  <c r="J8" i="12" s="1"/>
  <c r="H8" i="11"/>
  <c r="C8" i="11"/>
  <c r="J8" i="11" s="1"/>
  <c r="H8" i="10"/>
  <c r="C8" i="10"/>
  <c r="J8" i="10" s="1"/>
  <c r="H8" i="9"/>
  <c r="O8" i="9" s="1"/>
  <c r="C8" i="9"/>
  <c r="J8" i="9" s="1"/>
  <c r="H8" i="8"/>
  <c r="O8" i="8" s="1"/>
  <c r="C8" i="8"/>
  <c r="J8" i="8" s="1"/>
  <c r="H8" i="7"/>
  <c r="C8" i="7"/>
  <c r="J8" i="7" s="1"/>
  <c r="H8" i="29"/>
  <c r="O8" i="29" s="1"/>
  <c r="C8" i="29"/>
  <c r="J8" i="29" s="1"/>
  <c r="H8" i="6"/>
  <c r="O8" i="6" s="1"/>
  <c r="C8" i="6"/>
  <c r="J8" i="6" s="1"/>
  <c r="H8" i="5"/>
  <c r="C8" i="5"/>
  <c r="J8" i="5" s="1"/>
  <c r="H8" i="4"/>
  <c r="O8" i="4" s="1"/>
  <c r="C8" i="4"/>
  <c r="J8" i="4" s="1"/>
  <c r="H8" i="3"/>
  <c r="C8" i="3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Q24" i="1"/>
  <c r="Q23" i="1"/>
  <c r="Q22" i="1"/>
  <c r="Q21" i="1"/>
  <c r="Q20" i="1"/>
  <c r="Q19" i="1"/>
  <c r="Q18" i="1"/>
  <c r="Q17" i="1"/>
  <c r="Q16" i="1"/>
  <c r="Q15" i="1"/>
  <c r="Q13" i="1"/>
  <c r="Q14" i="1"/>
  <c r="Q12" i="1"/>
  <c r="Q11" i="1"/>
  <c r="Q10" i="1"/>
  <c r="Q9" i="1"/>
  <c r="Q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8" i="1"/>
  <c r="M26" i="6" l="1"/>
  <c r="L26" i="6" s="1"/>
  <c r="R27" i="1"/>
  <c r="K8" i="29"/>
  <c r="M8" i="29" s="1"/>
  <c r="L8" i="29" s="1"/>
  <c r="K28" i="29" s="1"/>
  <c r="J28" i="29"/>
  <c r="K8" i="10"/>
  <c r="M8" i="10" s="1"/>
  <c r="L8" i="10" s="1"/>
  <c r="K28" i="10" s="1"/>
  <c r="J28" i="10"/>
  <c r="K8" i="14"/>
  <c r="M8" i="14" s="1"/>
  <c r="L8" i="14" s="1"/>
  <c r="K28" i="14" s="1"/>
  <c r="J28" i="14"/>
  <c r="K8" i="17"/>
  <c r="M8" i="17" s="1"/>
  <c r="L8" i="17" s="1"/>
  <c r="K28" i="17" s="1"/>
  <c r="J28" i="17"/>
  <c r="K8" i="30"/>
  <c r="M8" i="30" s="1"/>
  <c r="L8" i="30" s="1"/>
  <c r="K28" i="30" s="1"/>
  <c r="J28" i="30"/>
  <c r="K8" i="25"/>
  <c r="M8" i="25" s="1"/>
  <c r="L8" i="25" s="1"/>
  <c r="K28" i="25" s="1"/>
  <c r="J28" i="25"/>
  <c r="K8" i="4"/>
  <c r="M8" i="4" s="1"/>
  <c r="L8" i="4" s="1"/>
  <c r="K28" i="4" s="1"/>
  <c r="K8" i="7"/>
  <c r="M8" i="7" s="1"/>
  <c r="L8" i="7" s="1"/>
  <c r="K28" i="7" s="1"/>
  <c r="J28" i="7"/>
  <c r="K8" i="11"/>
  <c r="M8" i="11" s="1"/>
  <c r="L8" i="11" s="1"/>
  <c r="K28" i="11" s="1"/>
  <c r="J28" i="11"/>
  <c r="K8" i="15"/>
  <c r="M8" i="15" s="1"/>
  <c r="L8" i="15" s="1"/>
  <c r="K28" i="15" s="1"/>
  <c r="J28" i="15"/>
  <c r="K8" i="18"/>
  <c r="M8" i="18" s="1"/>
  <c r="L8" i="18" s="1"/>
  <c r="K28" i="18" s="1"/>
  <c r="J28" i="18"/>
  <c r="K8" i="20"/>
  <c r="M8" i="20" s="1"/>
  <c r="L8" i="20" s="1"/>
  <c r="K28" i="20" s="1"/>
  <c r="J28" i="20"/>
  <c r="K8" i="5"/>
  <c r="M8" i="5" s="1"/>
  <c r="L8" i="5" s="1"/>
  <c r="K28" i="5" s="1"/>
  <c r="J28" i="5"/>
  <c r="K8" i="8"/>
  <c r="M8" i="8" s="1"/>
  <c r="L8" i="8" s="1"/>
  <c r="K28" i="8" s="1"/>
  <c r="J28" i="8"/>
  <c r="K8" i="12"/>
  <c r="M8" i="12" s="1"/>
  <c r="L8" i="12" s="1"/>
  <c r="K28" i="12" s="1"/>
  <c r="J28" i="12"/>
  <c r="K8" i="24"/>
  <c r="M8" i="24" s="1"/>
  <c r="L8" i="24" s="1"/>
  <c r="K28" i="24" s="1"/>
  <c r="J28" i="24"/>
  <c r="K8" i="19"/>
  <c r="M8" i="19" s="1"/>
  <c r="L8" i="19" s="1"/>
  <c r="K28" i="19" s="1"/>
  <c r="J28" i="19"/>
  <c r="K8" i="21"/>
  <c r="M8" i="21" s="1"/>
  <c r="L8" i="21" s="1"/>
  <c r="K28" i="21" s="1"/>
  <c r="J28" i="21"/>
  <c r="K8" i="6"/>
  <c r="M8" i="6" s="1"/>
  <c r="L8" i="6" s="1"/>
  <c r="J28" i="6"/>
  <c r="K8" i="9"/>
  <c r="M8" i="9" s="1"/>
  <c r="L8" i="9" s="1"/>
  <c r="K28" i="9" s="1"/>
  <c r="J28" i="9"/>
  <c r="K8" i="13"/>
  <c r="M8" i="13" s="1"/>
  <c r="L8" i="13" s="1"/>
  <c r="K28" i="13" s="1"/>
  <c r="J28" i="13"/>
  <c r="K8" i="27"/>
  <c r="M8" i="27" s="1"/>
  <c r="L8" i="27" s="1"/>
  <c r="K28" i="27" s="1"/>
  <c r="J28" i="27"/>
  <c r="K8" i="28"/>
  <c r="M8" i="28" s="1"/>
  <c r="L8" i="28" s="1"/>
  <c r="K28" i="28" s="1"/>
  <c r="J28" i="28"/>
  <c r="K8" i="23"/>
  <c r="M8" i="23" s="1"/>
  <c r="L8" i="23" s="1"/>
  <c r="K28" i="23" s="1"/>
  <c r="J28" i="23"/>
  <c r="O8" i="10"/>
  <c r="O8" i="15"/>
  <c r="O8" i="28"/>
  <c r="O8" i="23"/>
  <c r="O8" i="13"/>
  <c r="O8" i="14"/>
  <c r="O8" i="19"/>
  <c r="O8" i="21"/>
  <c r="O8" i="18"/>
  <c r="O8" i="7"/>
  <c r="O8" i="20"/>
  <c r="O8" i="27"/>
  <c r="K28" i="6" l="1"/>
  <c r="R24" i="1"/>
  <c r="X24" i="1" s="1"/>
  <c r="N8" i="3"/>
  <c r="D27" i="30"/>
  <c r="R23" i="1"/>
  <c r="X23" i="1" s="1"/>
  <c r="R22" i="1"/>
  <c r="X22" i="1" s="1"/>
  <c r="R21" i="1"/>
  <c r="X21" i="1" s="1"/>
  <c r="R20" i="1"/>
  <c r="X20" i="1" s="1"/>
  <c r="R19" i="1"/>
  <c r="X19" i="1" s="1"/>
  <c r="R18" i="1"/>
  <c r="X18" i="1" s="1"/>
  <c r="R17" i="1"/>
  <c r="X17" i="1" s="1"/>
  <c r="R16" i="1"/>
  <c r="X16" i="1" s="1"/>
  <c r="R15" i="1"/>
  <c r="X15" i="1" s="1"/>
  <c r="R14" i="1"/>
  <c r="X14" i="1" s="1"/>
  <c r="R13" i="1"/>
  <c r="X13" i="1" s="1"/>
  <c r="R12" i="1"/>
  <c r="X12" i="1" s="1"/>
  <c r="R11" i="1"/>
  <c r="X11" i="1" s="1"/>
  <c r="R10" i="1"/>
  <c r="X10" i="1" s="1"/>
  <c r="R9" i="1"/>
  <c r="X9" i="1" s="1"/>
  <c r="R8" i="1"/>
  <c r="X8" i="1" s="1"/>
  <c r="N8" i="1"/>
  <c r="H8" i="1"/>
  <c r="C8" i="1"/>
  <c r="O8" i="3" l="1"/>
  <c r="J8" i="3"/>
  <c r="J28" i="3" s="1"/>
  <c r="O8" i="1"/>
  <c r="J8" i="1"/>
  <c r="K8" i="3" l="1"/>
  <c r="M8" i="3" s="1"/>
  <c r="L8" i="3" s="1"/>
  <c r="K28" i="3" s="1"/>
  <c r="K8" i="1"/>
  <c r="M8" i="1" s="1"/>
  <c r="L8" i="1" s="1"/>
  <c r="K28" i="1" s="1"/>
  <c r="L28" i="10" l="1"/>
  <c r="L28" i="7"/>
  <c r="L28" i="12"/>
  <c r="L28" i="9"/>
  <c r="L28" i="6"/>
  <c r="L30" i="8" s="1"/>
  <c r="L28" i="20"/>
  <c r="L28" i="21"/>
  <c r="L28" i="18"/>
  <c r="L28" i="30"/>
  <c r="L28" i="3"/>
  <c r="L28" i="4"/>
  <c r="L28" i="24"/>
  <c r="L28" i="27"/>
  <c r="L28" i="8"/>
  <c r="L28" i="19"/>
  <c r="L28" i="1"/>
  <c r="L28" i="5"/>
  <c r="L28" i="29"/>
  <c r="L28" i="11"/>
  <c r="L28" i="13"/>
  <c r="L28" i="14"/>
  <c r="L28" i="15"/>
  <c r="L28" i="17"/>
  <c r="L28" i="25"/>
  <c r="L28" i="23"/>
  <c r="L31" i="8" l="1"/>
  <c r="L30" i="27"/>
  <c r="L31" i="27" s="1"/>
  <c r="L30" i="12"/>
  <c r="L31" i="12" s="1"/>
  <c r="L30" i="14"/>
  <c r="L31" i="14" s="1"/>
  <c r="L30" i="10"/>
  <c r="L31" i="10" s="1"/>
  <c r="L28" i="28"/>
  <c r="L30" i="25" s="1"/>
  <c r="L31" i="25" l="1"/>
</calcChain>
</file>

<file path=xl/sharedStrings.xml><?xml version="1.0" encoding="utf-8"?>
<sst xmlns="http://schemas.openxmlformats.org/spreadsheetml/2006/main" count="2075" uniqueCount="101">
  <si>
    <t>ลูกค้า</t>
  </si>
  <si>
    <t>ใบจัดสินค้า</t>
  </si>
  <si>
    <t>IV</t>
  </si>
  <si>
    <t>ลำดับ</t>
  </si>
  <si>
    <t>ชื่อสินค้า</t>
  </si>
  <si>
    <t>ยอดรวมสินค้า</t>
  </si>
  <si>
    <t>สถานที่จัดส่ง</t>
  </si>
  <si>
    <t>ชื่อลูกค้า</t>
  </si>
  <si>
    <t>นนทบุรี</t>
  </si>
  <si>
    <t>MFD</t>
  </si>
  <si>
    <t>BBF/EXP</t>
  </si>
  <si>
    <t>จำนวน</t>
  </si>
  <si>
    <t>หน่วย</t>
  </si>
  <si>
    <t>สถานที่</t>
  </si>
  <si>
    <t>ชิ้น</t>
  </si>
  <si>
    <t>ลัง</t>
  </si>
  <si>
    <t>แพ็ค</t>
  </si>
  <si>
    <t>รถคันที่ :</t>
  </si>
  <si>
    <t>วันที่ส่ง</t>
  </si>
  <si>
    <t>บริษัท แวลู่พลัส รีเทล จำกัด</t>
  </si>
  <si>
    <t>บริษัท เซ็นทรัล ฟู้ด รีเทล จำกัด</t>
  </si>
  <si>
    <t>บริษัท ซีพี ออลล์ จำกัด</t>
  </si>
  <si>
    <t>สินค้า</t>
  </si>
  <si>
    <t>เกณฑ์วันการจัดส่ง
(ไม่ต่ำกว่า)</t>
  </si>
  <si>
    <t>อายุคงเหลือ
(วัน)</t>
  </si>
  <si>
    <t>เกณฑ์</t>
  </si>
  <si>
    <t>คงเหลือวันที่ส่งได้</t>
  </si>
  <si>
    <t>วันที่ :</t>
  </si>
  <si>
    <t>วันที่จัดเสร็จ..........................................                             วันที่จัดเสร็จ................................................</t>
  </si>
  <si>
    <t>ผู้รับผิดชอบ..........................................                              ผู้ตรวจ (เช็คเกอร์).......................................</t>
  </si>
  <si>
    <t>เวลาที่จัดเสร็จ.........................................                            เวลาที่จัดเสร็จ............................................</t>
  </si>
  <si>
    <t>พนักงานขนส่ง..........................................</t>
  </si>
  <si>
    <t>ทะเบียนขนส่ง.............................................</t>
  </si>
  <si>
    <t>เลขซีล/สี.....................................................</t>
  </si>
  <si>
    <t>BDC.โชคชัยร่วมมิตร</t>
  </si>
  <si>
    <t>BDC.สำโรง</t>
  </si>
  <si>
    <t>ยูมิยูมิ เค้กไก่หยองน้ำสลัด 52กรัม</t>
  </si>
  <si>
    <t>ยูมิยูมิ เค้กไข่ชีส 78 กรัม</t>
  </si>
  <si>
    <t>คำวนตะกร้า</t>
  </si>
  <si>
    <t>ตะกร้าเต็ม</t>
  </si>
  <si>
    <t>ใบ</t>
  </si>
  <si>
    <t>ตะกร้าเศษ</t>
  </si>
  <si>
    <t>บรรจุ</t>
  </si>
  <si>
    <t>บริษัท ปิโตรเลียมไทยคอร์ปอเรชั่น จำกัด</t>
  </si>
  <si>
    <t>DC.T-Park Wangnoi</t>
  </si>
  <si>
    <t>ยูมิยูมิ ชีสเค้ก 52กรัม</t>
  </si>
  <si>
    <t>ยูมิยูมิ มิลค์เค้ก 46กรัม</t>
  </si>
  <si>
    <t>BDC.ร่มเกล้า</t>
  </si>
  <si>
    <t>BDC.รังสิต</t>
  </si>
  <si>
    <t>BDC.มหาชัย</t>
  </si>
  <si>
    <t>BDC.สุราษฎร์</t>
  </si>
  <si>
    <t>BDC.หาดใหญ่</t>
  </si>
  <si>
    <t>BDC.เชียงใหม่</t>
  </si>
  <si>
    <t>BDC.นครสวรรค์</t>
  </si>
  <si>
    <t>BDC.นครราชสีมา</t>
  </si>
  <si>
    <t>BDC.ขอนแก่น</t>
  </si>
  <si>
    <t>BDC.ชลบุรี</t>
  </si>
  <si>
    <t>รวมตะกร้า</t>
  </si>
  <si>
    <t>1/1</t>
  </si>
  <si>
    <t>ยูมิยูมิ ปังแท่งครีมชีส 55กรัม</t>
  </si>
  <si>
    <t>ยูมิยูมิ เลมอนเค้ก 65กรัม</t>
  </si>
  <si>
    <t>ยูมิยูมิ ขนมปังกล้วยหอม 65กรัม</t>
  </si>
  <si>
    <t>รายการ</t>
  </si>
  <si>
    <t>ยอดสรุปชิ้น</t>
  </si>
  <si>
    <t>ยูมิยูมิ เค้กทูโทนกลิ่นกาแฟ 90กรัม</t>
  </si>
  <si>
    <t>ยูมิยูมิ เค้กทูโทนกลิ่นพีช 90กรัม</t>
  </si>
  <si>
    <t>ใหม่ !! ยูมิยูมิ เค้กไข่ชีส 78กรัม</t>
  </si>
  <si>
    <t>ยูมิยูมิ พรีมเค้ก 53กรัม</t>
  </si>
  <si>
    <t>ยูมิยูมิ พิซซ่าเค้ก 75กรัม</t>
  </si>
  <si>
    <t>ยูมิยูมิ ขนมปังข้าวโพด 65กรัม</t>
  </si>
  <si>
    <t>รวม</t>
  </si>
  <si>
    <t>ยูมิยูมิ มินิครีมเค้ก 40กรัม</t>
  </si>
  <si>
    <t>ยอดตระกร้ารวม</t>
  </si>
  <si>
    <t>ใช้รถ</t>
  </si>
  <si>
    <t>กล่อง</t>
  </si>
  <si>
    <t>ชุด</t>
  </si>
  <si>
    <t>ยูมิยูมิ บลูเบอร์รี่เค้ก 52กรัม</t>
  </si>
  <si>
    <t>NEWยูมิยูมิ มิลค์เค้ก 55กรัม</t>
  </si>
  <si>
    <t>ยูมิยูมิ ซอฟต์เค้ก 43กรัม</t>
  </si>
  <si>
    <t>ยูมิยูมิ เค้กอัลมอนด์ 75กรัม</t>
  </si>
  <si>
    <t>ยูมิยูมิ โรลช็อกโกแลตเค้ก 55กรัม</t>
  </si>
  <si>
    <t>ยูมิยูมิ เค้กห่อไข่ไส้ครีม 63กรัม</t>
  </si>
  <si>
    <t>ยูมิยูมิ ปังบิสกิตไส้ครีมชีส 65กรัม</t>
  </si>
  <si>
    <t>ยูมิยูมิ ปังบิสกิตไส้ครีมชีส (โปร1แถม1)</t>
  </si>
  <si>
    <t>ยูมิยูมิ เค้กครีมสลัดไก่หยอง 75กรัม</t>
  </si>
  <si>
    <t>ยูมิยูมิ ชิสึเค้ก 70กรัม</t>
  </si>
  <si>
    <t>ยูมิยูมิ ปังบิสกิตไส้ช็อกโกแลต 65กรัม</t>
  </si>
  <si>
    <t>ยูมิยูมิ ชิฟฟอนชีสเค้ก 75กรัม</t>
  </si>
  <si>
    <t>ยูมิยูมิ เค้กช็อกโกแลตเฮเซลนัท 75กรัม</t>
  </si>
  <si>
    <t>ยูมิยูมิ เค้กสาหร่ายไก่หยอง 75กรัม</t>
  </si>
  <si>
    <t>วาฟเฟิลครีมโคโคนัทมิลค์ 62กรัม</t>
  </si>
  <si>
    <t>ยูมิยูมิ เค้กโรลนมชมพู 55กรัม</t>
  </si>
  <si>
    <t>ยูมิยูมิ ปังบิสกิตไส้ช็อกโกแลต (โปร1แถม1)</t>
  </si>
  <si>
    <t xml:space="preserve">ยูมิยูมิ วาฟเฟิลครีมราสเบอร์รี่ 62กรัม </t>
  </si>
  <si>
    <t>ยูมิยูมิ ขนมปังมอนสเตอร์รสบลูเบอร์รี่</t>
  </si>
  <si>
    <t>ยูมิยูมิ เค้กโรลมัตจะ 55กรัม</t>
  </si>
  <si>
    <t>ยูมิยูมิ เค้กสาหร่ายไก่หยอง 75กรัม (โปร1แถม1)</t>
  </si>
  <si>
    <t>ยูมิยูมิ เค้กช็อกโกแลตเฮเซลนัท 75กรัม(โปร1แถม1)</t>
  </si>
  <si>
    <t>ยูมิยูมิ ขนมปังมอนสเตอร์รสเยลโล่พีช 50กรัม</t>
  </si>
  <si>
    <t>ยูมิยูมิ ขนมปังมอนสเตอร์รสสตอเบอร์รี่ 50กรัม</t>
  </si>
  <si>
    <t>ยูมิยูมิ มินิเค้กไส้ครีมกล้วยหอม 40กรัม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</si>
</sst>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b/>
      <sz val="16"/>
      <color theme="1"/>
      <name val="Tahoma"/>
      <family val="2"/>
      <scheme val="minor"/>
    </font>
    <font>
      <b/>
      <sz val="20"/>
      <color theme="1"/>
      <name val="Tahoma"/>
      <family val="2"/>
      <scheme val="minor"/>
    </font>
    <font>
      <b/>
      <sz val="22"/>
      <color theme="1"/>
      <name val="Tahoma"/>
      <family val="2"/>
      <scheme val="minor"/>
    </font>
    <font>
      <b/>
      <sz val="14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b/>
      <sz val="12"/>
      <color theme="1"/>
      <name val="Tahoma"/>
      <family val="2"/>
      <scheme val="minor"/>
    </font>
    <font>
      <b/>
      <sz val="20"/>
      <color rgb="FFFF0000"/>
      <name val="Tahoma"/>
      <family val="2"/>
      <scheme val="minor"/>
    </font>
    <font>
      <b/>
      <sz val="28"/>
      <color rgb="FFFF0000"/>
      <name val="Tahoma"/>
      <family val="2"/>
      <scheme val="minor"/>
    </font>
    <font>
      <b/>
      <sz val="16"/>
      <color rgb="FFFF0000"/>
      <name val="Tahoma"/>
      <family val="2"/>
      <scheme val="minor"/>
    </font>
    <font>
      <b/>
      <sz val="22"/>
      <color rgb="FFFF0000"/>
      <name val="Tahoma"/>
      <family val="2"/>
      <scheme val="minor"/>
    </font>
    <font>
      <b/>
      <sz val="24"/>
      <color rgb="FFFF0000"/>
      <name val="Tahoma"/>
      <family val="2"/>
      <scheme val="minor"/>
    </font>
    <font>
      <sz val="16"/>
      <color theme="1"/>
      <name val="Tahoma"/>
      <family val="2"/>
      <charset val="222"/>
      <scheme val="minor"/>
    </font>
    <font>
      <b/>
      <sz val="13"/>
      <color theme="1"/>
      <name val="Tahoma"/>
      <family val="2"/>
      <scheme val="minor"/>
    </font>
    <font>
      <sz val="13"/>
      <color theme="1"/>
      <name val="Tahoma"/>
      <family val="2"/>
      <scheme val="minor"/>
    </font>
    <font>
      <b/>
      <sz val="36"/>
      <color theme="1"/>
      <name val="Tahoma"/>
      <family val="2"/>
      <scheme val="minor"/>
    </font>
    <font>
      <b/>
      <sz val="28"/>
      <color theme="0"/>
      <name val="Tahoma"/>
      <family val="2"/>
      <scheme val="minor"/>
    </font>
    <font>
      <b/>
      <sz val="18"/>
      <color theme="1"/>
      <name val="Tahoma"/>
      <family val="2"/>
      <scheme val="minor"/>
    </font>
    <font>
      <b/>
      <sz val="18"/>
      <color rgb="FFFF0000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b/>
      <sz val="14"/>
      <color rgb="FFFF0000"/>
      <name val="Tahoma"/>
      <family val="2"/>
      <scheme val="minor"/>
    </font>
    <font>
      <sz val="16"/>
      <color rgb="FFFF0000"/>
      <name val="Tahoma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6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11" fillId="3" borderId="0" xfId="0" applyNumberFormat="1" applyFont="1" applyFill="1" applyAlignment="1" applyProtection="1">
      <alignment horizontal="center" vertical="center"/>
      <protection locked="0"/>
    </xf>
    <xf numFmtId="0" fontId="3" fillId="0" borderId="0" xfId="0" applyFont="1" applyAlignment="1">
      <alignment horizontal="right" vertical="center"/>
    </xf>
    <xf numFmtId="0" fontId="14" fillId="0" borderId="0" xfId="0" applyFont="1"/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wrapText="1"/>
    </xf>
    <xf numFmtId="187" fontId="0" fillId="0" borderId="0" xfId="0" applyNumberFormat="1"/>
    <xf numFmtId="0" fontId="0" fillId="0" borderId="0" xfId="0" applyAlignment="1">
      <alignment vertical="center"/>
    </xf>
    <xf numFmtId="0" fontId="1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10" fillId="3" borderId="0" xfId="0" applyNumberFormat="1" applyFont="1" applyFill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20" fillId="9" borderId="4" xfId="0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87" fontId="9" fillId="10" borderId="1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21" fillId="10" borderId="1" xfId="0" applyFont="1" applyFill="1" applyBorder="1" applyAlignment="1">
      <alignment horizontal="center" vertical="center"/>
    </xf>
    <xf numFmtId="3" fontId="20" fillId="6" borderId="1" xfId="0" applyNumberFormat="1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3" fontId="18" fillId="10" borderId="1" xfId="0" applyNumberFormat="1" applyFont="1" applyFill="1" applyBorder="1" applyAlignment="1">
      <alignment horizontal="center" vertical="center"/>
    </xf>
    <xf numFmtId="0" fontId="18" fillId="3" borderId="1" xfId="0" applyFont="1" applyFill="1" applyBorder="1" applyAlignment="1" applyProtection="1">
      <alignment horizontal="left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187" fontId="7" fillId="3" borderId="1" xfId="1" applyNumberFormat="1" applyFont="1" applyFill="1" applyBorder="1" applyAlignment="1" applyProtection="1">
      <alignment horizontal="center" vertical="center"/>
      <protection locked="0"/>
    </xf>
    <xf numFmtId="0" fontId="7" fillId="3" borderId="1" xfId="0" applyFont="1" applyFill="1" applyBorder="1" applyAlignment="1" applyProtection="1">
      <alignment horizontal="center" vertical="center"/>
      <protection locked="0"/>
    </xf>
    <xf numFmtId="14" fontId="18" fillId="3" borderId="1" xfId="0" applyNumberFormat="1" applyFont="1" applyFill="1" applyBorder="1" applyAlignment="1" applyProtection="1">
      <alignment horizontal="center" vertical="center"/>
      <protection locked="0"/>
    </xf>
    <xf numFmtId="14" fontId="18" fillId="3" borderId="1" xfId="0" applyNumberFormat="1" applyFont="1" applyFill="1" applyBorder="1" applyAlignment="1" applyProtection="1">
      <alignment horizontal="center" vertical="center" wrapText="1"/>
      <protection locked="0"/>
    </xf>
    <xf numFmtId="43" fontId="1" fillId="0" borderId="1" xfId="1" applyFont="1" applyBorder="1" applyAlignment="1" applyProtection="1">
      <alignment vertical="center"/>
    </xf>
    <xf numFmtId="0" fontId="1" fillId="0" borderId="1" xfId="0" applyFont="1" applyBorder="1" applyAlignment="1">
      <alignment horizontal="center" vertical="center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vertical="center"/>
      <protection locked="0"/>
    </xf>
    <xf numFmtId="0" fontId="17" fillId="0" borderId="1" xfId="0" applyFont="1" applyBorder="1" applyAlignment="1">
      <alignment horizontal="center" vertical="center"/>
    </xf>
    <xf numFmtId="0" fontId="8" fillId="3" borderId="1" xfId="0" applyFont="1" applyFill="1" applyBorder="1" applyAlignment="1" applyProtection="1">
      <alignment vertical="center"/>
      <protection locked="0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/>
    </xf>
    <xf numFmtId="187" fontId="17" fillId="0" borderId="1" xfId="1" applyNumberFormat="1" applyFont="1" applyBorder="1" applyAlignment="1" applyProtection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87" fontId="1" fillId="6" borderId="1" xfId="1" applyNumberFormat="1" applyFont="1" applyFill="1" applyBorder="1" applyAlignment="1" applyProtection="1">
      <alignment vertical="center"/>
    </xf>
    <xf numFmtId="0" fontId="9" fillId="7" borderId="1" xfId="0" applyFont="1" applyFill="1" applyBorder="1" applyAlignment="1">
      <alignment horizontal="center" vertical="center"/>
    </xf>
    <xf numFmtId="187" fontId="1" fillId="7" borderId="1" xfId="1" applyNumberFormat="1" applyFont="1" applyFill="1" applyBorder="1" applyAlignment="1" applyProtection="1">
      <alignment vertical="center"/>
    </xf>
    <xf numFmtId="43" fontId="4" fillId="0" borderId="1" xfId="0" applyNumberFormat="1" applyFont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4" fontId="10" fillId="3" borderId="1" xfId="0" applyNumberFormat="1" applyFont="1" applyFill="1" applyBorder="1" applyAlignment="1" applyProtection="1">
      <alignment horizontal="center" vertical="center"/>
      <protection locked="0"/>
    </xf>
    <xf numFmtId="0" fontId="10" fillId="3" borderId="1" xfId="0" applyFont="1" applyFill="1" applyBorder="1" applyAlignment="1" applyProtection="1">
      <alignment horizontal="center" vertical="center"/>
      <protection locked="0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5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156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</dxf>
  </dxfs>
  <tableStyles count="0" defaultTableStyle="TableStyleMedium2" defaultPivotStyle="PivotStyleLight16"/>
  <colors>
    <mruColors>
      <color rgb="FFFFFB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8A9E8-B581-4F2C-B8D8-8E9142B3517F}">
  <sheetPr>
    <tabColor rgb="FF92D050"/>
    <pageSetUpPr fitToPage="1"/>
  </sheetPr>
  <dimension ref="A1:O41"/>
  <sheetViews>
    <sheetView topLeftCell="A4" zoomScale="55" zoomScaleNormal="55" zoomScaleSheetLayoutView="50" workbookViewId="0">
      <selection activeCell="B26" sqref="B26"/>
    </sheetView>
  </sheetViews>
  <sheetFormatPr defaultRowHeight="14.25" x14ac:dyDescent="0.2"/>
  <cols>
    <col min="2" max="2" width="60.875" customWidth="1"/>
    <col min="3" max="3" width="9.375" customWidth="1"/>
    <col min="4" max="4" width="19.625" customWidth="1"/>
    <col min="5" max="5" width="10.375" customWidth="1"/>
    <col min="6" max="7" width="22.125" customWidth="1"/>
    <col min="8" max="8" width="20.875" customWidth="1"/>
    <col min="9" max="9" width="1.875" customWidth="1"/>
    <col min="10" max="10" width="13.875" customWidth="1"/>
    <col min="11" max="11" width="25.125" bestFit="1" customWidth="1"/>
    <col min="12" max="13" width="13.875" customWidth="1"/>
    <col min="14" max="14" width="8.75" customWidth="1"/>
    <col min="15" max="15" width="18.125" customWidth="1"/>
  </cols>
  <sheetData>
    <row r="1" spans="1:15" ht="39.6" customHeight="1" x14ac:dyDescent="0.2">
      <c r="A1" s="61" t="s">
        <v>19</v>
      </c>
      <c r="B1" s="61"/>
      <c r="C1" s="61"/>
      <c r="D1" s="61"/>
      <c r="E1" s="61"/>
      <c r="F1" s="61"/>
      <c r="G1" s="6" t="s">
        <v>17</v>
      </c>
      <c r="H1" s="5" t="s">
        <v>58</v>
      </c>
    </row>
    <row r="2" spans="1:15" ht="40.5" customHeight="1" thickBot="1" x14ac:dyDescent="0.25">
      <c r="A2" s="62"/>
      <c r="B2" s="62"/>
      <c r="C2" s="62"/>
      <c r="D2" s="62"/>
      <c r="E2" s="62"/>
      <c r="F2" s="62"/>
      <c r="G2" s="6" t="s">
        <v>27</v>
      </c>
      <c r="H2" s="15"/>
    </row>
    <row r="3" spans="1:15" ht="48.6" customHeight="1" x14ac:dyDescent="0.2">
      <c r="A3" s="63" t="s">
        <v>1</v>
      </c>
      <c r="B3" s="64"/>
      <c r="C3" s="64"/>
      <c r="D3" s="64"/>
      <c r="E3" s="64"/>
      <c r="F3" s="64"/>
      <c r="G3" s="64"/>
      <c r="H3" s="65"/>
    </row>
    <row r="4" spans="1:15" ht="54.95" customHeight="1" x14ac:dyDescent="0.2">
      <c r="A4" s="33" t="s">
        <v>0</v>
      </c>
      <c r="B4" s="34" t="s">
        <v>21</v>
      </c>
      <c r="C4" s="35"/>
      <c r="D4" s="66" t="s">
        <v>6</v>
      </c>
      <c r="E4" s="66"/>
      <c r="F4" s="57" t="s">
        <v>53</v>
      </c>
      <c r="G4" s="57"/>
      <c r="H4" s="57"/>
    </row>
    <row r="5" spans="1:15" ht="30.95" customHeight="1" x14ac:dyDescent="0.2">
      <c r="A5" s="55" t="s">
        <v>2</v>
      </c>
      <c r="B5" s="67"/>
      <c r="C5" s="37"/>
      <c r="D5" s="55" t="s">
        <v>18</v>
      </c>
      <c r="E5" s="55"/>
      <c r="F5" s="68"/>
      <c r="G5" s="68"/>
      <c r="H5" s="68"/>
      <c r="J5" s="55" t="s">
        <v>38</v>
      </c>
      <c r="K5" s="55"/>
      <c r="L5" s="55"/>
      <c r="M5" s="55"/>
    </row>
    <row r="6" spans="1:15" ht="30.6" customHeight="1" x14ac:dyDescent="0.2">
      <c r="A6" s="55"/>
      <c r="B6" s="67"/>
      <c r="C6" s="37"/>
      <c r="D6" s="56"/>
      <c r="E6" s="57"/>
      <c r="F6" s="68"/>
      <c r="G6" s="68"/>
      <c r="H6" s="68"/>
      <c r="J6" s="58" t="s">
        <v>39</v>
      </c>
      <c r="K6" s="58"/>
      <c r="L6" s="59" t="s">
        <v>41</v>
      </c>
      <c r="M6" s="59"/>
    </row>
    <row r="7" spans="1:15" s="7" customFormat="1" ht="36.6" customHeight="1" x14ac:dyDescent="0.25">
      <c r="A7" s="38" t="s">
        <v>3</v>
      </c>
      <c r="B7" s="38" t="s">
        <v>4</v>
      </c>
      <c r="C7" s="38" t="s">
        <v>42</v>
      </c>
      <c r="D7" s="38" t="s">
        <v>11</v>
      </c>
      <c r="E7" s="38" t="s">
        <v>12</v>
      </c>
      <c r="F7" s="38" t="s">
        <v>9</v>
      </c>
      <c r="G7" s="38" t="s">
        <v>10</v>
      </c>
      <c r="H7" s="39" t="s">
        <v>24</v>
      </c>
      <c r="J7" s="43" t="s">
        <v>40</v>
      </c>
      <c r="K7" s="44" t="s">
        <v>14</v>
      </c>
      <c r="L7" s="45" t="s">
        <v>40</v>
      </c>
      <c r="M7" s="46" t="s">
        <v>14</v>
      </c>
      <c r="N7" s="42" t="s">
        <v>25</v>
      </c>
      <c r="O7" s="42" t="s">
        <v>26</v>
      </c>
    </row>
    <row r="8" spans="1:15" ht="44.45" customHeight="1" x14ac:dyDescent="0.2">
      <c r="A8" s="36">
        <v>1</v>
      </c>
      <c r="B8" s="26" t="s">
        <v>77</v>
      </c>
      <c r="C8" s="27">
        <f>SUMIF(Data!E:E,B8,Data!F:F)</f>
        <v>42</v>
      </c>
      <c r="D8" s="28"/>
      <c r="E8" s="29" t="s">
        <v>14</v>
      </c>
      <c r="F8" s="30"/>
      <c r="G8" s="31"/>
      <c r="H8" s="32">
        <f>+G8-$D$6</f>
        <v>0</v>
      </c>
      <c r="J8" s="47">
        <f t="shared" ref="J8:J26" si="0">ROUNDDOWN((D8/C8),0)</f>
        <v>0</v>
      </c>
      <c r="K8" s="48">
        <f>SUMIF(Data!E:E,'มหาชัย(2)'!B8,Data!F:F)*J8</f>
        <v>0</v>
      </c>
      <c r="L8" s="49">
        <f t="shared" ref="L8:L26" si="1">ROUNDUP((M8/C8),0)</f>
        <v>0</v>
      </c>
      <c r="M8" s="50">
        <f t="shared" ref="M8:M26" si="2">D8-K8</f>
        <v>0</v>
      </c>
      <c r="N8" s="33">
        <f>INDEX(Data!C:C,MATCH(F4,Data!B:B,0))</f>
        <v>60</v>
      </c>
      <c r="O8" s="51">
        <f t="shared" ref="O8:O26" si="3">H8-N8</f>
        <v>-60</v>
      </c>
    </row>
    <row r="9" spans="1:15" ht="44.45" customHeight="1" x14ac:dyDescent="0.2">
      <c r="A9" s="36">
        <v>2</v>
      </c>
      <c r="B9" s="26" t="s">
        <v>66</v>
      </c>
      <c r="C9" s="27">
        <f>SUMIF(Data!E:E,B9,Data!F:F)</f>
        <v>36</v>
      </c>
      <c r="D9" s="28"/>
      <c r="E9" s="29" t="s">
        <v>14</v>
      </c>
      <c r="F9" s="30"/>
      <c r="G9" s="31"/>
      <c r="H9" s="32">
        <f t="shared" ref="H9:H26" si="4">+G9-$D$6</f>
        <v>0</v>
      </c>
      <c r="J9" s="47">
        <f t="shared" si="0"/>
        <v>0</v>
      </c>
      <c r="K9" s="48">
        <f>SUMIF(Data!E:E,'มหาชัย(2)'!B9,Data!F:F)*J9</f>
        <v>0</v>
      </c>
      <c r="L9" s="49">
        <f t="shared" si="1"/>
        <v>0</v>
      </c>
      <c r="M9" s="50">
        <f t="shared" si="2"/>
        <v>0</v>
      </c>
      <c r="N9" s="33" t="e">
        <f>INDEX(Data!C:C,MATCH(F5,Data!B:B,0))</f>
        <v>#N/A</v>
      </c>
      <c r="O9" s="51" t="e">
        <f t="shared" si="3"/>
        <v>#N/A</v>
      </c>
    </row>
    <row r="10" spans="1:15" ht="44.45" customHeight="1" x14ac:dyDescent="0.2">
      <c r="A10" s="36">
        <v>3</v>
      </c>
      <c r="B10" s="26" t="s">
        <v>79</v>
      </c>
      <c r="C10" s="27">
        <f>SUMIF(Data!E:E,B10,Data!F:F)</f>
        <v>42</v>
      </c>
      <c r="D10" s="28"/>
      <c r="E10" s="29" t="s">
        <v>14</v>
      </c>
      <c r="F10" s="30"/>
      <c r="G10" s="31"/>
      <c r="H10" s="32">
        <f t="shared" si="4"/>
        <v>0</v>
      </c>
      <c r="J10" s="47">
        <f t="shared" si="0"/>
        <v>0</v>
      </c>
      <c r="K10" s="48">
        <f>SUMIF(Data!E:E,'มหาชัย(2)'!B10,Data!F:F)*J10</f>
        <v>0</v>
      </c>
      <c r="L10" s="49">
        <f t="shared" si="1"/>
        <v>0</v>
      </c>
      <c r="M10" s="50">
        <f t="shared" si="2"/>
        <v>0</v>
      </c>
      <c r="N10" s="33" t="e">
        <f>INDEX(Data!C:C,MATCH(F6,Data!B:B,0))</f>
        <v>#N/A</v>
      </c>
      <c r="O10" s="51" t="e">
        <f t="shared" si="3"/>
        <v>#N/A</v>
      </c>
    </row>
    <row r="11" spans="1:15" ht="44.45" customHeight="1" x14ac:dyDescent="0.2">
      <c r="A11" s="36">
        <v>4</v>
      </c>
      <c r="B11" s="26" t="s">
        <v>80</v>
      </c>
      <c r="C11" s="27">
        <f>SUMIF(Data!E:E,B11,Data!F:F)</f>
        <v>50</v>
      </c>
      <c r="D11" s="28"/>
      <c r="E11" s="29" t="s">
        <v>14</v>
      </c>
      <c r="F11" s="30"/>
      <c r="G11" s="31"/>
      <c r="H11" s="32">
        <f t="shared" si="4"/>
        <v>0</v>
      </c>
      <c r="J11" s="47">
        <f t="shared" si="0"/>
        <v>0</v>
      </c>
      <c r="K11" s="48">
        <f>SUMIF(Data!E:E,'มหาชัย(2)'!B11,Data!F:F)*J11</f>
        <v>0</v>
      </c>
      <c r="L11" s="49">
        <f t="shared" si="1"/>
        <v>0</v>
      </c>
      <c r="M11" s="50">
        <f t="shared" si="2"/>
        <v>0</v>
      </c>
      <c r="N11" s="33" t="e">
        <f>INDEX(Data!C:C,MATCH(F7,Data!B:B,0))</f>
        <v>#N/A</v>
      </c>
      <c r="O11" s="51" t="e">
        <f t="shared" si="3"/>
        <v>#N/A</v>
      </c>
    </row>
    <row r="12" spans="1:15" ht="44.45" customHeight="1" x14ac:dyDescent="0.2">
      <c r="A12" s="36">
        <v>5</v>
      </c>
      <c r="B12" s="26" t="s">
        <v>71</v>
      </c>
      <c r="C12" s="27">
        <f>SUMIF(Data!E:E,B12,Data!F:F)</f>
        <v>81</v>
      </c>
      <c r="D12" s="28"/>
      <c r="E12" s="29" t="s">
        <v>14</v>
      </c>
      <c r="F12" s="30"/>
      <c r="G12" s="31"/>
      <c r="H12" s="32">
        <f t="shared" si="4"/>
        <v>0</v>
      </c>
      <c r="J12" s="47">
        <f t="shared" si="0"/>
        <v>0</v>
      </c>
      <c r="K12" s="48">
        <f>SUMIF(Data!E:E,'มหาชัย(2)'!B12,Data!F:F)*J12</f>
        <v>0</v>
      </c>
      <c r="L12" s="49">
        <f t="shared" si="1"/>
        <v>0</v>
      </c>
      <c r="M12" s="50">
        <f t="shared" si="2"/>
        <v>0</v>
      </c>
      <c r="N12" s="33" t="e">
        <f>INDEX(Data!C:C,MATCH(F8,Data!B:B,0))</f>
        <v>#N/A</v>
      </c>
      <c r="O12" s="51" t="e">
        <f t="shared" si="3"/>
        <v>#N/A</v>
      </c>
    </row>
    <row r="13" spans="1:15" ht="44.45" customHeight="1" x14ac:dyDescent="0.2">
      <c r="A13" s="36">
        <v>6</v>
      </c>
      <c r="B13" s="26" t="s">
        <v>84</v>
      </c>
      <c r="C13" s="27">
        <f>SUMIF(Data!E:E,B13,Data!F:F)</f>
        <v>42</v>
      </c>
      <c r="D13" s="28"/>
      <c r="E13" s="29" t="s">
        <v>14</v>
      </c>
      <c r="F13" s="30"/>
      <c r="G13" s="31"/>
      <c r="H13" s="32">
        <f t="shared" si="4"/>
        <v>0</v>
      </c>
      <c r="J13" s="47">
        <f t="shared" si="0"/>
        <v>0</v>
      </c>
      <c r="K13" s="48">
        <f>SUMIF(Data!E:E,'มหาชัย(2)'!B13,Data!F:F)*J13</f>
        <v>0</v>
      </c>
      <c r="L13" s="49">
        <f t="shared" si="1"/>
        <v>0</v>
      </c>
      <c r="M13" s="50">
        <f t="shared" si="2"/>
        <v>0</v>
      </c>
      <c r="N13" s="33" t="e">
        <f>INDEX(Data!C:C,MATCH(F9,Data!B:B,0))</f>
        <v>#N/A</v>
      </c>
      <c r="O13" s="51" t="e">
        <f t="shared" si="3"/>
        <v>#N/A</v>
      </c>
    </row>
    <row r="14" spans="1:15" ht="44.45" customHeight="1" x14ac:dyDescent="0.2">
      <c r="A14" s="36">
        <v>7</v>
      </c>
      <c r="B14" s="26" t="s">
        <v>85</v>
      </c>
      <c r="C14" s="27">
        <f>SUMIF(Data!E:E,B14,Data!F:F)</f>
        <v>32</v>
      </c>
      <c r="D14" s="28"/>
      <c r="E14" s="29" t="s">
        <v>14</v>
      </c>
      <c r="F14" s="30"/>
      <c r="G14" s="31"/>
      <c r="H14" s="32">
        <f t="shared" si="4"/>
        <v>0</v>
      </c>
      <c r="J14" s="47">
        <f t="shared" si="0"/>
        <v>0</v>
      </c>
      <c r="K14" s="48">
        <f>SUMIF(Data!E:E,'มหาชัย(2)'!B14,Data!F:F)*J14</f>
        <v>0</v>
      </c>
      <c r="L14" s="49">
        <f t="shared" si="1"/>
        <v>0</v>
      </c>
      <c r="M14" s="50">
        <f t="shared" si="2"/>
        <v>0</v>
      </c>
      <c r="N14" s="33" t="e">
        <f>INDEX(Data!C:C,MATCH(F10,Data!B:B,0))</f>
        <v>#N/A</v>
      </c>
      <c r="O14" s="51" t="e">
        <f t="shared" si="3"/>
        <v>#N/A</v>
      </c>
    </row>
    <row r="15" spans="1:15" ht="44.45" customHeight="1" x14ac:dyDescent="0.2">
      <c r="A15" s="36">
        <v>8</v>
      </c>
      <c r="B15" s="26" t="s">
        <v>76</v>
      </c>
      <c r="C15" s="27">
        <f>SUMIF(Data!E:E,B15,Data!F:F)</f>
        <v>70</v>
      </c>
      <c r="D15" s="28"/>
      <c r="E15" s="29" t="s">
        <v>14</v>
      </c>
      <c r="F15" s="30"/>
      <c r="G15" s="31"/>
      <c r="H15" s="32">
        <f t="shared" si="4"/>
        <v>0</v>
      </c>
      <c r="J15" s="47">
        <f t="shared" si="0"/>
        <v>0</v>
      </c>
      <c r="K15" s="48">
        <f>SUMIF(Data!E:E,'มหาชัย(2)'!B15,Data!F:F)*J15</f>
        <v>0</v>
      </c>
      <c r="L15" s="49">
        <f t="shared" si="1"/>
        <v>0</v>
      </c>
      <c r="M15" s="50">
        <f t="shared" si="2"/>
        <v>0</v>
      </c>
      <c r="N15" s="33" t="e">
        <f>INDEX(Data!C:C,MATCH(F11,Data!B:B,0))</f>
        <v>#N/A</v>
      </c>
      <c r="O15" s="51" t="e">
        <f t="shared" si="3"/>
        <v>#N/A</v>
      </c>
    </row>
    <row r="16" spans="1:15" ht="44.45" customHeight="1" x14ac:dyDescent="0.2">
      <c r="A16" s="36">
        <v>9</v>
      </c>
      <c r="B16" s="26" t="s">
        <v>89</v>
      </c>
      <c r="C16" s="27">
        <f>SUMIF(Data!E:E,B16,Data!F:F)</f>
        <v>45</v>
      </c>
      <c r="D16" s="28"/>
      <c r="E16" s="29" t="s">
        <v>14</v>
      </c>
      <c r="F16" s="30"/>
      <c r="G16" s="31"/>
      <c r="H16" s="32">
        <f t="shared" si="4"/>
        <v>0</v>
      </c>
      <c r="J16" s="47">
        <f t="shared" si="0"/>
        <v>0</v>
      </c>
      <c r="K16" s="48">
        <f>SUMIF(Data!E:E,'มหาชัย(2)'!B16,Data!F:F)*J16</f>
        <v>0</v>
      </c>
      <c r="L16" s="49">
        <f t="shared" si="1"/>
        <v>0</v>
      </c>
      <c r="M16" s="50">
        <f t="shared" si="2"/>
        <v>0</v>
      </c>
      <c r="N16" s="33" t="e">
        <f>INDEX(Data!C:C,MATCH(F12,Data!B:B,0))</f>
        <v>#N/A</v>
      </c>
      <c r="O16" s="51" t="e">
        <f t="shared" si="3"/>
        <v>#N/A</v>
      </c>
    </row>
    <row r="17" spans="1:15" ht="44.45" customHeight="1" x14ac:dyDescent="0.2">
      <c r="A17" s="36">
        <v>10</v>
      </c>
      <c r="B17" s="26" t="s">
        <v>88</v>
      </c>
      <c r="C17" s="27">
        <f>SUMIF(Data!E:E,B17,Data!F:F)</f>
        <v>48</v>
      </c>
      <c r="D17" s="28"/>
      <c r="E17" s="29" t="s">
        <v>14</v>
      </c>
      <c r="F17" s="30"/>
      <c r="G17" s="31"/>
      <c r="H17" s="32">
        <f t="shared" si="4"/>
        <v>0</v>
      </c>
      <c r="J17" s="47">
        <f t="shared" si="0"/>
        <v>0</v>
      </c>
      <c r="K17" s="48">
        <f>SUMIF(Data!E:E,'มหาชัย(2)'!B17,Data!F:F)*J17</f>
        <v>0</v>
      </c>
      <c r="L17" s="49">
        <f t="shared" si="1"/>
        <v>0</v>
      </c>
      <c r="M17" s="50">
        <f t="shared" si="2"/>
        <v>0</v>
      </c>
      <c r="N17" s="33" t="e">
        <f>INDEX(Data!C:C,MATCH(F13,Data!B:B,0))</f>
        <v>#N/A</v>
      </c>
      <c r="O17" s="51" t="e">
        <f t="shared" si="3"/>
        <v>#N/A</v>
      </c>
    </row>
    <row r="18" spans="1:15" ht="44.45" customHeight="1" x14ac:dyDescent="0.2">
      <c r="A18" s="36">
        <v>11</v>
      </c>
      <c r="B18" s="26" t="s">
        <v>87</v>
      </c>
      <c r="C18" s="27">
        <f>SUMIF(Data!E:E,B18,Data!F:F)</f>
        <v>48</v>
      </c>
      <c r="D18" s="28"/>
      <c r="E18" s="29" t="s">
        <v>14</v>
      </c>
      <c r="F18" s="30"/>
      <c r="G18" s="31"/>
      <c r="H18" s="32">
        <f t="shared" si="4"/>
        <v>0</v>
      </c>
      <c r="J18" s="47">
        <f t="shared" si="0"/>
        <v>0</v>
      </c>
      <c r="K18" s="48">
        <f>SUMIF(Data!E:E,'มหาชัย(2)'!B18,Data!F:F)*J18</f>
        <v>0</v>
      </c>
      <c r="L18" s="49">
        <f t="shared" si="1"/>
        <v>0</v>
      </c>
      <c r="M18" s="50">
        <f t="shared" si="2"/>
        <v>0</v>
      </c>
      <c r="N18" s="33" t="e">
        <f>INDEX(Data!C:C,MATCH(F14,Data!B:B,0))</f>
        <v>#N/A</v>
      </c>
      <c r="O18" s="51" t="e">
        <f t="shared" si="3"/>
        <v>#N/A</v>
      </c>
    </row>
    <row r="19" spans="1:15" ht="44.45" customHeight="1" x14ac:dyDescent="0.2">
      <c r="A19" s="36">
        <v>12</v>
      </c>
      <c r="B19" s="26" t="s">
        <v>90</v>
      </c>
      <c r="C19" s="27">
        <f>SUMIF(Data!E:E,B19,Data!F:F)</f>
        <v>60</v>
      </c>
      <c r="D19" s="28"/>
      <c r="E19" s="29" t="s">
        <v>14</v>
      </c>
      <c r="F19" s="30"/>
      <c r="G19" s="31"/>
      <c r="H19" s="32">
        <f t="shared" si="4"/>
        <v>0</v>
      </c>
      <c r="J19" s="47">
        <f t="shared" si="0"/>
        <v>0</v>
      </c>
      <c r="K19" s="48">
        <f>SUMIF(Data!E:E,'มหาชัย(2)'!B19,Data!F:F)*J19</f>
        <v>0</v>
      </c>
      <c r="L19" s="49">
        <f t="shared" si="1"/>
        <v>0</v>
      </c>
      <c r="M19" s="50">
        <f t="shared" si="2"/>
        <v>0</v>
      </c>
      <c r="N19" s="33" t="e">
        <f>INDEX(Data!C:C,MATCH(F15,Data!B:B,0))</f>
        <v>#N/A</v>
      </c>
      <c r="O19" s="51" t="e">
        <f t="shared" si="3"/>
        <v>#N/A</v>
      </c>
    </row>
    <row r="20" spans="1:15" ht="44.45" customHeight="1" x14ac:dyDescent="0.2">
      <c r="A20" s="36">
        <v>13</v>
      </c>
      <c r="B20" s="26" t="s">
        <v>91</v>
      </c>
      <c r="C20" s="27">
        <f>SUMIF(Data!E:E,B20,Data!F:F)</f>
        <v>50</v>
      </c>
      <c r="D20" s="28"/>
      <c r="E20" s="29" t="s">
        <v>14</v>
      </c>
      <c r="F20" s="30"/>
      <c r="G20" s="31"/>
      <c r="H20" s="32">
        <f t="shared" si="4"/>
        <v>0</v>
      </c>
      <c r="J20" s="47">
        <f t="shared" si="0"/>
        <v>0</v>
      </c>
      <c r="K20" s="48">
        <f>SUMIF(Data!E:E,'มหาชัย(2)'!B20,Data!F:F)*J20</f>
        <v>0</v>
      </c>
      <c r="L20" s="49">
        <f t="shared" si="1"/>
        <v>0</v>
      </c>
      <c r="M20" s="50">
        <f t="shared" si="2"/>
        <v>0</v>
      </c>
      <c r="N20" s="33" t="e">
        <f>INDEX(Data!C:C,MATCH(F16,Data!B:B,0))</f>
        <v>#N/A</v>
      </c>
      <c r="O20" s="51" t="e">
        <f t="shared" si="3"/>
        <v>#N/A</v>
      </c>
    </row>
    <row r="21" spans="1:15" ht="44.45" customHeight="1" x14ac:dyDescent="0.2">
      <c r="A21" s="36">
        <v>14</v>
      </c>
      <c r="B21" s="26" t="s">
        <v>93</v>
      </c>
      <c r="C21" s="27">
        <f>SUMIF(Data!E:E,B21,Data!F:F)</f>
        <v>60</v>
      </c>
      <c r="D21" s="28"/>
      <c r="E21" s="29" t="s">
        <v>14</v>
      </c>
      <c r="F21" s="30"/>
      <c r="G21" s="31"/>
      <c r="H21" s="32">
        <f t="shared" si="4"/>
        <v>0</v>
      </c>
      <c r="J21" s="47">
        <f t="shared" si="0"/>
        <v>0</v>
      </c>
      <c r="K21" s="48">
        <f>SUMIF(Data!E:E,'มหาชัย(2)'!B21,Data!F:F)*J21</f>
        <v>0</v>
      </c>
      <c r="L21" s="49">
        <f t="shared" si="1"/>
        <v>0</v>
      </c>
      <c r="M21" s="50">
        <f t="shared" si="2"/>
        <v>0</v>
      </c>
      <c r="N21" s="33" t="e">
        <f>INDEX(Data!C:C,MATCH(F17,Data!B:B,0))</f>
        <v>#N/A</v>
      </c>
      <c r="O21" s="51" t="e">
        <f t="shared" si="3"/>
        <v>#N/A</v>
      </c>
    </row>
    <row r="22" spans="1:15" ht="44.45" customHeight="1" x14ac:dyDescent="0.2">
      <c r="A22" s="36">
        <v>15</v>
      </c>
      <c r="B22" s="26" t="s">
        <v>94</v>
      </c>
      <c r="C22" s="27">
        <f>SUMIF(Data!E:E,B22,Data!F:F)</f>
        <v>55</v>
      </c>
      <c r="D22" s="28"/>
      <c r="E22" s="29" t="s">
        <v>14</v>
      </c>
      <c r="F22" s="30"/>
      <c r="G22" s="31"/>
      <c r="H22" s="32">
        <f t="shared" si="4"/>
        <v>0</v>
      </c>
      <c r="J22" s="47">
        <f t="shared" si="0"/>
        <v>0</v>
      </c>
      <c r="K22" s="48">
        <f>SUMIF(Data!E:E,'มหาชัย(2)'!B22,Data!F:F)*J22</f>
        <v>0</v>
      </c>
      <c r="L22" s="49">
        <f t="shared" si="1"/>
        <v>0</v>
      </c>
      <c r="M22" s="50">
        <f t="shared" si="2"/>
        <v>0</v>
      </c>
      <c r="N22" s="33" t="e">
        <f>INDEX(Data!C:C,MATCH(F18,Data!B:B,0))</f>
        <v>#N/A</v>
      </c>
      <c r="O22" s="51" t="e">
        <f t="shared" si="3"/>
        <v>#N/A</v>
      </c>
    </row>
    <row r="23" spans="1:15" ht="44.45" customHeight="1" x14ac:dyDescent="0.2">
      <c r="A23" s="36">
        <v>16</v>
      </c>
      <c r="B23" s="26" t="s">
        <v>95</v>
      </c>
      <c r="C23" s="27">
        <f>SUMIF(Data!E:E,B23,Data!F:F)</f>
        <v>50</v>
      </c>
      <c r="D23" s="28"/>
      <c r="E23" s="29" t="s">
        <v>14</v>
      </c>
      <c r="F23" s="30"/>
      <c r="G23" s="31"/>
      <c r="H23" s="32">
        <f t="shared" si="4"/>
        <v>0</v>
      </c>
      <c r="J23" s="47">
        <f t="shared" si="0"/>
        <v>0</v>
      </c>
      <c r="K23" s="48">
        <f>SUMIF(Data!E:E,'มหาชัย(2)'!B23,Data!F:F)*J23</f>
        <v>0</v>
      </c>
      <c r="L23" s="49">
        <f t="shared" si="1"/>
        <v>0</v>
      </c>
      <c r="M23" s="50">
        <f t="shared" si="2"/>
        <v>0</v>
      </c>
      <c r="N23" s="33" t="e">
        <f>INDEX(Data!C:C,MATCH(F19,Data!B:B,0))</f>
        <v>#N/A</v>
      </c>
      <c r="O23" s="51" t="e">
        <f t="shared" si="3"/>
        <v>#N/A</v>
      </c>
    </row>
    <row r="24" spans="1:15" ht="44.45" customHeight="1" x14ac:dyDescent="0.2">
      <c r="A24" s="36">
        <v>17</v>
      </c>
      <c r="B24" s="26" t="s">
        <v>98</v>
      </c>
      <c r="C24" s="27">
        <f>SUMIF(Data!E:E,B24,Data!F:F)</f>
        <v>55</v>
      </c>
      <c r="D24" s="28"/>
      <c r="E24" s="29" t="s">
        <v>14</v>
      </c>
      <c r="F24" s="30"/>
      <c r="G24" s="31"/>
      <c r="H24" s="32">
        <f t="shared" si="4"/>
        <v>0</v>
      </c>
      <c r="J24" s="47">
        <f t="shared" si="0"/>
        <v>0</v>
      </c>
      <c r="K24" s="48">
        <f>SUMIF(Data!E:E,'มหาชัย(2)'!B24,Data!F:F)*J24</f>
        <v>0</v>
      </c>
      <c r="L24" s="49">
        <f t="shared" si="1"/>
        <v>0</v>
      </c>
      <c r="M24" s="50">
        <f t="shared" si="2"/>
        <v>0</v>
      </c>
      <c r="N24" s="33" t="e">
        <f>INDEX(Data!C:C,MATCH(F20,Data!B:B,0))</f>
        <v>#N/A</v>
      </c>
      <c r="O24" s="51" t="e">
        <f t="shared" si="3"/>
        <v>#N/A</v>
      </c>
    </row>
    <row r="25" spans="1:15" ht="44.45" customHeight="1" x14ac:dyDescent="0.2">
      <c r="A25" s="36">
        <v>18</v>
      </c>
      <c r="B25" s="26" t="s">
        <v>99</v>
      </c>
      <c r="C25" s="27">
        <f>SUMIF(Data!E:E,B25,Data!F:F)</f>
        <v>55</v>
      </c>
      <c r="D25" s="28"/>
      <c r="E25" s="29" t="s">
        <v>14</v>
      </c>
      <c r="F25" s="30"/>
      <c r="G25" s="31"/>
      <c r="H25" s="32">
        <f t="shared" si="4"/>
        <v>0</v>
      </c>
      <c r="J25" s="47">
        <f t="shared" si="0"/>
        <v>0</v>
      </c>
      <c r="K25" s="48">
        <f>SUMIF(Data!E:E,'มหาชัย(2)'!B25,Data!F:F)*J25</f>
        <v>0</v>
      </c>
      <c r="L25" s="49">
        <f t="shared" si="1"/>
        <v>0</v>
      </c>
      <c r="M25" s="50">
        <f t="shared" si="2"/>
        <v>0</v>
      </c>
      <c r="N25" s="33" t="e">
        <f>INDEX(Data!C:C,MATCH(F21,Data!B:B,0))</f>
        <v>#N/A</v>
      </c>
      <c r="O25" s="51" t="e">
        <f t="shared" si="3"/>
        <v>#N/A</v>
      </c>
    </row>
    <row r="26" spans="1:15" ht="44.45" customHeight="1" x14ac:dyDescent="0.2">
      <c r="A26" s="36">
        <v>19</v>
      </c>
      <c r="B26" s="26" t="s">
        <v>100</v>
      </c>
      <c r="C26" s="27">
        <f>SUMIF(Data!E:E,B26,Data!F:F)</f>
        <v>81</v>
      </c>
      <c r="D26" s="28"/>
      <c r="E26" s="29" t="s">
        <v>14</v>
      </c>
      <c r="F26" s="30"/>
      <c r="G26" s="31"/>
      <c r="H26" s="32">
        <f t="shared" si="4"/>
        <v>0</v>
      </c>
      <c r="J26" s="47">
        <f t="shared" si="0"/>
        <v>0</v>
      </c>
      <c r="K26" s="48">
        <f>SUMIF(Data!E:E,'มหาชัย(2)'!B26,Data!F:F)*J26</f>
        <v>0</v>
      </c>
      <c r="L26" s="49">
        <f t="shared" si="1"/>
        <v>0</v>
      </c>
      <c r="M26" s="50">
        <f t="shared" si="2"/>
        <v>0</v>
      </c>
      <c r="N26" s="33" t="e">
        <f>INDEX(Data!C:C,MATCH(F22,Data!B:B,0))</f>
        <v>#N/A</v>
      </c>
      <c r="O26" s="51" t="e">
        <f t="shared" si="3"/>
        <v>#N/A</v>
      </c>
    </row>
    <row r="27" spans="1:15" ht="54.6" customHeight="1" x14ac:dyDescent="0.2">
      <c r="A27" s="60" t="s">
        <v>5</v>
      </c>
      <c r="B27" s="60"/>
      <c r="C27" s="40"/>
      <c r="D27" s="41"/>
      <c r="E27" s="42"/>
      <c r="F27" s="42"/>
      <c r="G27" s="42"/>
      <c r="H27" s="1"/>
      <c r="J27" s="14" t="s">
        <v>39</v>
      </c>
      <c r="K27" s="14" t="s">
        <v>41</v>
      </c>
      <c r="L27" s="14" t="s">
        <v>57</v>
      </c>
    </row>
    <row r="28" spans="1:15" ht="20.100000000000001" customHeight="1" x14ac:dyDescent="0.2">
      <c r="J28" s="13">
        <f>SUM($J$8:$J$26)</f>
        <v>0</v>
      </c>
      <c r="K28" s="13">
        <f>SUM($L$8:$L$26)</f>
        <v>0</v>
      </c>
      <c r="L28" s="13">
        <f>SUM(J28:K28)</f>
        <v>0</v>
      </c>
    </row>
    <row r="29" spans="1:15" ht="20.100000000000001" customHeight="1" x14ac:dyDescent="0.2">
      <c r="L29" s="13"/>
    </row>
    <row r="30" spans="1:15" ht="61.5" customHeight="1" x14ac:dyDescent="0.25">
      <c r="A30" s="8"/>
      <c r="B30" s="9" t="s">
        <v>29</v>
      </c>
      <c r="C30" s="9"/>
      <c r="G30" s="8" t="s">
        <v>31</v>
      </c>
      <c r="K30" s="20" t="s">
        <v>72</v>
      </c>
      <c r="L30" s="53">
        <f>SUM('นครสวรรค์(2):ขอนแก่น(1)'!L28)</f>
        <v>0</v>
      </c>
      <c r="N30" s="8"/>
      <c r="O30" s="8"/>
    </row>
    <row r="31" spans="1:15" ht="61.5" customHeight="1" x14ac:dyDescent="0.25">
      <c r="A31" s="8"/>
      <c r="B31" s="8" t="s">
        <v>28</v>
      </c>
      <c r="C31" s="8"/>
      <c r="F31" s="8"/>
      <c r="G31" s="8" t="s">
        <v>32</v>
      </c>
      <c r="H31" s="8"/>
      <c r="K31" s="20" t="s">
        <v>73</v>
      </c>
      <c r="L31" s="53">
        <f>L30/200</f>
        <v>0</v>
      </c>
      <c r="N31" s="8"/>
      <c r="O31" s="8"/>
    </row>
    <row r="32" spans="1:15" ht="61.5" customHeight="1" x14ac:dyDescent="0.25">
      <c r="A32" s="8"/>
      <c r="B32" s="8" t="s">
        <v>30</v>
      </c>
      <c r="C32" s="8"/>
      <c r="F32" s="8"/>
      <c r="G32" s="8" t="s">
        <v>33</v>
      </c>
      <c r="H32" s="9"/>
      <c r="J32" s="11"/>
      <c r="L32" s="9"/>
      <c r="N32" s="9"/>
      <c r="O32" s="9"/>
    </row>
    <row r="33" ht="20.100000000000001" customHeight="1" x14ac:dyDescent="0.2"/>
    <row r="34" ht="20.100000000000001" customHeight="1" x14ac:dyDescent="0.2"/>
    <row r="35" ht="20.100000000000001" customHeight="1" x14ac:dyDescent="0.2"/>
    <row r="36" ht="20.100000000000001" customHeight="1" x14ac:dyDescent="0.2"/>
    <row r="37" ht="20.100000000000001" customHeight="1" x14ac:dyDescent="0.2"/>
    <row r="38" ht="20.100000000000001" customHeight="1" x14ac:dyDescent="0.2"/>
    <row r="39" ht="20.100000000000001" customHeight="1" x14ac:dyDescent="0.2"/>
    <row r="40" ht="20.100000000000001" customHeight="1" x14ac:dyDescent="0.2"/>
    <row r="41" ht="20.100000000000001" customHeight="1" x14ac:dyDescent="0.2"/>
  </sheetData>
  <mergeCells count="13">
    <mergeCell ref="A1:F2"/>
    <mergeCell ref="A3:H3"/>
    <mergeCell ref="D4:E4"/>
    <mergeCell ref="F4:H4"/>
    <mergeCell ref="A5:A6"/>
    <mergeCell ref="B5:B6"/>
    <mergeCell ref="D5:E5"/>
    <mergeCell ref="F5:H6"/>
    <mergeCell ref="J5:M5"/>
    <mergeCell ref="D6:E6"/>
    <mergeCell ref="J6:K6"/>
    <mergeCell ref="L6:M6"/>
    <mergeCell ref="A27:B27"/>
  </mergeCells>
  <conditionalFormatting sqref="H8:H26">
    <cfRule type="cellIs" dxfId="155" priority="5" operator="lessThan">
      <formula>-1</formula>
    </cfRule>
    <cfRule type="cellIs" dxfId="154" priority="6" operator="equal">
      <formula>"-"</formula>
    </cfRule>
  </conditionalFormatting>
  <conditionalFormatting sqref="J8:O26">
    <cfRule type="containsErrors" dxfId="153" priority="4">
      <formula>ISERROR(J8)</formula>
    </cfRule>
  </conditionalFormatting>
  <conditionalFormatting sqref="O8:O26">
    <cfRule type="cellIs" dxfId="152" priority="1" operator="lessThan">
      <formula>0</formula>
    </cfRule>
    <cfRule type="cellIs" dxfId="151" priority="2" operator="greaterThan">
      <formula>15</formula>
    </cfRule>
    <cfRule type="cellIs" dxfId="150" priority="3" operator="lessThan">
      <formula>16</formula>
    </cfRule>
  </conditionalFormatting>
  <pageMargins left="0.7" right="0.7" top="0.75" bottom="0.75" header="0.3" footer="0.3"/>
  <pageSetup paperSize="9" scale="38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EDC38EA-5124-4421-B262-A2D540C23168}">
          <x14:formula1>
            <xm:f>Data!$B$2:$B$22</xm:f>
          </x14:formula1>
          <xm:sqref>F4</xm:sqref>
        </x14:dataValidation>
        <x14:dataValidation type="list" allowBlank="1" showInputMessage="1" showErrorMessage="1" xr:uid="{7BC4F96F-E693-4EF4-8F7F-3BEEBE0203E4}">
          <x14:formula1>
            <xm:f>Data!$G$2:$G$6</xm:f>
          </x14:formula1>
          <xm:sqref>E8:E26</xm:sqref>
        </x14:dataValidation>
        <x14:dataValidation type="list" allowBlank="1" showInputMessage="1" showErrorMessage="1" xr:uid="{D6ED4300-594B-45E7-81F3-8BA7A7154262}">
          <x14:formula1>
            <xm:f>Data!$E$2:$E$37</xm:f>
          </x14:formula1>
          <xm:sqref>B8:B26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625C5-100B-4579-83DA-B41D58867A87}">
  <sheetPr>
    <tabColor rgb="FF92D050"/>
    <pageSetUpPr fitToPage="1"/>
  </sheetPr>
  <dimension ref="A1:O41"/>
  <sheetViews>
    <sheetView topLeftCell="A5" zoomScale="55" zoomScaleNormal="55" zoomScaleSheetLayoutView="50" workbookViewId="0">
      <selection activeCell="B26" sqref="B26"/>
    </sheetView>
  </sheetViews>
  <sheetFormatPr defaultRowHeight="14.25" x14ac:dyDescent="0.2"/>
  <cols>
    <col min="2" max="2" width="60.875" customWidth="1"/>
    <col min="3" max="3" width="9.375" customWidth="1"/>
    <col min="4" max="4" width="19.625" customWidth="1"/>
    <col min="5" max="5" width="10.375" customWidth="1"/>
    <col min="6" max="7" width="22.125" customWidth="1"/>
    <col min="8" max="8" width="20.875" customWidth="1"/>
    <col min="9" max="9" width="1.875" customWidth="1"/>
    <col min="10" max="13" width="13.875" customWidth="1"/>
    <col min="14" max="14" width="8.75" customWidth="1"/>
    <col min="15" max="15" width="18.125" customWidth="1"/>
  </cols>
  <sheetData>
    <row r="1" spans="1:15" ht="39.6" customHeight="1" x14ac:dyDescent="0.2">
      <c r="A1" s="61" t="s">
        <v>19</v>
      </c>
      <c r="B1" s="61"/>
      <c r="C1" s="61"/>
      <c r="D1" s="61"/>
      <c r="E1" s="61"/>
      <c r="F1" s="61"/>
      <c r="G1" s="6" t="s">
        <v>17</v>
      </c>
      <c r="H1" s="5" t="s">
        <v>58</v>
      </c>
    </row>
    <row r="2" spans="1:15" ht="40.5" customHeight="1" thickBot="1" x14ac:dyDescent="0.25">
      <c r="A2" s="62"/>
      <c r="B2" s="62"/>
      <c r="C2" s="62"/>
      <c r="D2" s="62"/>
      <c r="E2" s="62"/>
      <c r="F2" s="62"/>
      <c r="G2" s="6" t="s">
        <v>27</v>
      </c>
      <c r="H2" s="15"/>
    </row>
    <row r="3" spans="1:15" ht="48.6" customHeight="1" x14ac:dyDescent="0.2">
      <c r="A3" s="63" t="s">
        <v>1</v>
      </c>
      <c r="B3" s="64"/>
      <c r="C3" s="64"/>
      <c r="D3" s="64"/>
      <c r="E3" s="64"/>
      <c r="F3" s="64"/>
      <c r="G3" s="64"/>
      <c r="H3" s="65"/>
    </row>
    <row r="4" spans="1:15" ht="54.95" customHeight="1" x14ac:dyDescent="0.2">
      <c r="A4" s="33" t="s">
        <v>0</v>
      </c>
      <c r="B4" s="34" t="s">
        <v>21</v>
      </c>
      <c r="C4" s="35"/>
      <c r="D4" s="66" t="s">
        <v>6</v>
      </c>
      <c r="E4" s="66"/>
      <c r="F4" s="57" t="s">
        <v>53</v>
      </c>
      <c r="G4" s="57"/>
      <c r="H4" s="57"/>
    </row>
    <row r="5" spans="1:15" ht="30.95" customHeight="1" x14ac:dyDescent="0.2">
      <c r="A5" s="55" t="s">
        <v>2</v>
      </c>
      <c r="B5" s="67"/>
      <c r="C5" s="37"/>
      <c r="D5" s="55" t="s">
        <v>18</v>
      </c>
      <c r="E5" s="55"/>
      <c r="F5" s="68"/>
      <c r="G5" s="68"/>
      <c r="H5" s="68"/>
      <c r="J5" s="55" t="s">
        <v>38</v>
      </c>
      <c r="K5" s="55"/>
      <c r="L5" s="55"/>
      <c r="M5" s="55"/>
    </row>
    <row r="6" spans="1:15" ht="30.6" customHeight="1" x14ac:dyDescent="0.2">
      <c r="A6" s="55"/>
      <c r="B6" s="67"/>
      <c r="C6" s="37"/>
      <c r="D6" s="56"/>
      <c r="E6" s="57"/>
      <c r="F6" s="68"/>
      <c r="G6" s="68"/>
      <c r="H6" s="68"/>
      <c r="J6" s="58" t="s">
        <v>39</v>
      </c>
      <c r="K6" s="58"/>
      <c r="L6" s="59" t="s">
        <v>41</v>
      </c>
      <c r="M6" s="59"/>
    </row>
    <row r="7" spans="1:15" s="7" customFormat="1" ht="36.6" customHeight="1" x14ac:dyDescent="0.25">
      <c r="A7" s="38" t="s">
        <v>3</v>
      </c>
      <c r="B7" s="38" t="s">
        <v>4</v>
      </c>
      <c r="C7" s="38" t="s">
        <v>42</v>
      </c>
      <c r="D7" s="38" t="s">
        <v>11</v>
      </c>
      <c r="E7" s="38" t="s">
        <v>12</v>
      </c>
      <c r="F7" s="38" t="s">
        <v>9</v>
      </c>
      <c r="G7" s="38" t="s">
        <v>10</v>
      </c>
      <c r="H7" s="39" t="s">
        <v>24</v>
      </c>
      <c r="J7" s="43" t="s">
        <v>40</v>
      </c>
      <c r="K7" s="44" t="s">
        <v>14</v>
      </c>
      <c r="L7" s="45" t="s">
        <v>40</v>
      </c>
      <c r="M7" s="46" t="s">
        <v>14</v>
      </c>
      <c r="N7" s="42" t="s">
        <v>25</v>
      </c>
      <c r="O7" s="42" t="s">
        <v>26</v>
      </c>
    </row>
    <row r="8" spans="1:15" ht="44.45" customHeight="1" x14ac:dyDescent="0.2">
      <c r="A8" s="36">
        <v>1</v>
      </c>
      <c r="B8" s="26" t="s">
        <v>77</v>
      </c>
      <c r="C8" s="27">
        <f>SUMIF(Data!E:E,B8,Data!F:F)</f>
        <v>42</v>
      </c>
      <c r="D8" s="28"/>
      <c r="E8" s="29" t="s">
        <v>14</v>
      </c>
      <c r="F8" s="30"/>
      <c r="G8" s="31"/>
      <c r="H8" s="32">
        <f>+G8-$D$6</f>
        <v>0</v>
      </c>
      <c r="J8" s="47">
        <f t="shared" ref="J8:J26" si="0">ROUNDDOWN((D8/C8),0)</f>
        <v>0</v>
      </c>
      <c r="K8" s="48">
        <f>SUMIF(Data!E:E,'มหาชัย(2)'!B8,Data!F:F)*J8</f>
        <v>0</v>
      </c>
      <c r="L8" s="49">
        <f t="shared" ref="L8:L26" si="1">ROUNDUP((M8/C8),0)</f>
        <v>0</v>
      </c>
      <c r="M8" s="50">
        <f t="shared" ref="M8:M26" si="2">D8-K8</f>
        <v>0</v>
      </c>
      <c r="N8" s="33">
        <f>INDEX(Data!C:C,MATCH(F4,Data!B:B,0))</f>
        <v>60</v>
      </c>
      <c r="O8" s="51">
        <f t="shared" ref="O8:O26" si="3">H8-N8</f>
        <v>-60</v>
      </c>
    </row>
    <row r="9" spans="1:15" ht="44.45" customHeight="1" x14ac:dyDescent="0.2">
      <c r="A9" s="36">
        <v>2</v>
      </c>
      <c r="B9" s="26" t="s">
        <v>66</v>
      </c>
      <c r="C9" s="27">
        <f>SUMIF(Data!E:E,B9,Data!F:F)</f>
        <v>36</v>
      </c>
      <c r="D9" s="28"/>
      <c r="E9" s="29" t="s">
        <v>14</v>
      </c>
      <c r="F9" s="30"/>
      <c r="G9" s="31"/>
      <c r="H9" s="32">
        <f t="shared" ref="H9:H26" si="4">+G9-$D$6</f>
        <v>0</v>
      </c>
      <c r="J9" s="47">
        <f t="shared" si="0"/>
        <v>0</v>
      </c>
      <c r="K9" s="48">
        <f>SUMIF(Data!E:E,'มหาชัย(2)'!B9,Data!F:F)*J9</f>
        <v>0</v>
      </c>
      <c r="L9" s="49">
        <f t="shared" si="1"/>
        <v>0</v>
      </c>
      <c r="M9" s="50">
        <f t="shared" si="2"/>
        <v>0</v>
      </c>
      <c r="N9" s="33" t="e">
        <f>INDEX(Data!C:C,MATCH(F5,Data!B:B,0))</f>
        <v>#N/A</v>
      </c>
      <c r="O9" s="51" t="e">
        <f t="shared" si="3"/>
        <v>#N/A</v>
      </c>
    </row>
    <row r="10" spans="1:15" ht="44.45" customHeight="1" x14ac:dyDescent="0.2">
      <c r="A10" s="36">
        <v>3</v>
      </c>
      <c r="B10" s="26" t="s">
        <v>79</v>
      </c>
      <c r="C10" s="27">
        <f>SUMIF(Data!E:E,B10,Data!F:F)</f>
        <v>42</v>
      </c>
      <c r="D10" s="28"/>
      <c r="E10" s="29" t="s">
        <v>14</v>
      </c>
      <c r="F10" s="30"/>
      <c r="G10" s="31"/>
      <c r="H10" s="32">
        <f t="shared" si="4"/>
        <v>0</v>
      </c>
      <c r="J10" s="47">
        <f t="shared" si="0"/>
        <v>0</v>
      </c>
      <c r="K10" s="48">
        <f>SUMIF(Data!E:E,'มหาชัย(2)'!B10,Data!F:F)*J10</f>
        <v>0</v>
      </c>
      <c r="L10" s="49">
        <f t="shared" si="1"/>
        <v>0</v>
      </c>
      <c r="M10" s="50">
        <f t="shared" si="2"/>
        <v>0</v>
      </c>
      <c r="N10" s="33" t="e">
        <f>INDEX(Data!C:C,MATCH(F6,Data!B:B,0))</f>
        <v>#N/A</v>
      </c>
      <c r="O10" s="51" t="e">
        <f t="shared" si="3"/>
        <v>#N/A</v>
      </c>
    </row>
    <row r="11" spans="1:15" ht="44.45" customHeight="1" x14ac:dyDescent="0.2">
      <c r="A11" s="36">
        <v>4</v>
      </c>
      <c r="B11" s="26" t="s">
        <v>80</v>
      </c>
      <c r="C11" s="27">
        <f>SUMIF(Data!E:E,B11,Data!F:F)</f>
        <v>50</v>
      </c>
      <c r="D11" s="28"/>
      <c r="E11" s="29" t="s">
        <v>14</v>
      </c>
      <c r="F11" s="30"/>
      <c r="G11" s="31"/>
      <c r="H11" s="32">
        <f t="shared" si="4"/>
        <v>0</v>
      </c>
      <c r="J11" s="47">
        <f t="shared" si="0"/>
        <v>0</v>
      </c>
      <c r="K11" s="48">
        <f>SUMIF(Data!E:E,'มหาชัย(2)'!B11,Data!F:F)*J11</f>
        <v>0</v>
      </c>
      <c r="L11" s="49">
        <f t="shared" si="1"/>
        <v>0</v>
      </c>
      <c r="M11" s="50">
        <f t="shared" si="2"/>
        <v>0</v>
      </c>
      <c r="N11" s="33" t="e">
        <f>INDEX(Data!C:C,MATCH(F7,Data!B:B,0))</f>
        <v>#N/A</v>
      </c>
      <c r="O11" s="51" t="e">
        <f t="shared" si="3"/>
        <v>#N/A</v>
      </c>
    </row>
    <row r="12" spans="1:15" ht="44.45" customHeight="1" x14ac:dyDescent="0.2">
      <c r="A12" s="36">
        <v>5</v>
      </c>
      <c r="B12" s="26" t="s">
        <v>71</v>
      </c>
      <c r="C12" s="27">
        <f>SUMIF(Data!E:E,B12,Data!F:F)</f>
        <v>81</v>
      </c>
      <c r="D12" s="28"/>
      <c r="E12" s="29" t="s">
        <v>14</v>
      </c>
      <c r="F12" s="30"/>
      <c r="G12" s="31"/>
      <c r="H12" s="32">
        <f t="shared" si="4"/>
        <v>0</v>
      </c>
      <c r="J12" s="47">
        <f t="shared" si="0"/>
        <v>0</v>
      </c>
      <c r="K12" s="48">
        <f>SUMIF(Data!E:E,'มหาชัย(2)'!B12,Data!F:F)*J12</f>
        <v>0</v>
      </c>
      <c r="L12" s="49">
        <f t="shared" si="1"/>
        <v>0</v>
      </c>
      <c r="M12" s="50">
        <f t="shared" si="2"/>
        <v>0</v>
      </c>
      <c r="N12" s="33" t="e">
        <f>INDEX(Data!C:C,MATCH(F8,Data!B:B,0))</f>
        <v>#N/A</v>
      </c>
      <c r="O12" s="51" t="e">
        <f t="shared" si="3"/>
        <v>#N/A</v>
      </c>
    </row>
    <row r="13" spans="1:15" ht="44.45" customHeight="1" x14ac:dyDescent="0.2">
      <c r="A13" s="36">
        <v>6</v>
      </c>
      <c r="B13" s="26" t="s">
        <v>84</v>
      </c>
      <c r="C13" s="27">
        <f>SUMIF(Data!E:E,B13,Data!F:F)</f>
        <v>42</v>
      </c>
      <c r="D13" s="28"/>
      <c r="E13" s="29" t="s">
        <v>14</v>
      </c>
      <c r="F13" s="30"/>
      <c r="G13" s="31"/>
      <c r="H13" s="32">
        <f t="shared" si="4"/>
        <v>0</v>
      </c>
      <c r="J13" s="47">
        <f t="shared" si="0"/>
        <v>0</v>
      </c>
      <c r="K13" s="48">
        <f>SUMIF(Data!E:E,'มหาชัย(2)'!B13,Data!F:F)*J13</f>
        <v>0</v>
      </c>
      <c r="L13" s="49">
        <f t="shared" si="1"/>
        <v>0</v>
      </c>
      <c r="M13" s="50">
        <f t="shared" si="2"/>
        <v>0</v>
      </c>
      <c r="N13" s="33" t="e">
        <f>INDEX(Data!C:C,MATCH(F9,Data!B:B,0))</f>
        <v>#N/A</v>
      </c>
      <c r="O13" s="51" t="e">
        <f t="shared" si="3"/>
        <v>#N/A</v>
      </c>
    </row>
    <row r="14" spans="1:15" ht="44.45" customHeight="1" x14ac:dyDescent="0.2">
      <c r="A14" s="36">
        <v>7</v>
      </c>
      <c r="B14" s="26" t="s">
        <v>85</v>
      </c>
      <c r="C14" s="27">
        <f>SUMIF(Data!E:E,B14,Data!F:F)</f>
        <v>32</v>
      </c>
      <c r="D14" s="28"/>
      <c r="E14" s="29" t="s">
        <v>14</v>
      </c>
      <c r="F14" s="30"/>
      <c r="G14" s="31"/>
      <c r="H14" s="32">
        <f t="shared" si="4"/>
        <v>0</v>
      </c>
      <c r="J14" s="47">
        <f t="shared" si="0"/>
        <v>0</v>
      </c>
      <c r="K14" s="48">
        <f>SUMIF(Data!E:E,'มหาชัย(2)'!B14,Data!F:F)*J14</f>
        <v>0</v>
      </c>
      <c r="L14" s="49">
        <f t="shared" si="1"/>
        <v>0</v>
      </c>
      <c r="M14" s="50">
        <f t="shared" si="2"/>
        <v>0</v>
      </c>
      <c r="N14" s="33" t="e">
        <f>INDEX(Data!C:C,MATCH(F10,Data!B:B,0))</f>
        <v>#N/A</v>
      </c>
      <c r="O14" s="51" t="e">
        <f t="shared" si="3"/>
        <v>#N/A</v>
      </c>
    </row>
    <row r="15" spans="1:15" ht="44.45" customHeight="1" x14ac:dyDescent="0.2">
      <c r="A15" s="36">
        <v>8</v>
      </c>
      <c r="B15" s="26" t="s">
        <v>76</v>
      </c>
      <c r="C15" s="27">
        <f>SUMIF(Data!E:E,B15,Data!F:F)</f>
        <v>70</v>
      </c>
      <c r="D15" s="28"/>
      <c r="E15" s="29" t="s">
        <v>14</v>
      </c>
      <c r="F15" s="30"/>
      <c r="G15" s="31"/>
      <c r="H15" s="32">
        <f t="shared" si="4"/>
        <v>0</v>
      </c>
      <c r="J15" s="47">
        <f t="shared" si="0"/>
        <v>0</v>
      </c>
      <c r="K15" s="48">
        <f>SUMIF(Data!E:E,'มหาชัย(2)'!B15,Data!F:F)*J15</f>
        <v>0</v>
      </c>
      <c r="L15" s="49">
        <f t="shared" si="1"/>
        <v>0</v>
      </c>
      <c r="M15" s="50">
        <f t="shared" si="2"/>
        <v>0</v>
      </c>
      <c r="N15" s="33" t="e">
        <f>INDEX(Data!C:C,MATCH(F11,Data!B:B,0))</f>
        <v>#N/A</v>
      </c>
      <c r="O15" s="51" t="e">
        <f t="shared" si="3"/>
        <v>#N/A</v>
      </c>
    </row>
    <row r="16" spans="1:15" ht="44.45" customHeight="1" x14ac:dyDescent="0.2">
      <c r="A16" s="36">
        <v>9</v>
      </c>
      <c r="B16" s="26" t="s">
        <v>89</v>
      </c>
      <c r="C16" s="27">
        <f>SUMIF(Data!E:E,B16,Data!F:F)</f>
        <v>45</v>
      </c>
      <c r="D16" s="28"/>
      <c r="E16" s="29" t="s">
        <v>14</v>
      </c>
      <c r="F16" s="30"/>
      <c r="G16" s="31"/>
      <c r="H16" s="32">
        <f t="shared" si="4"/>
        <v>0</v>
      </c>
      <c r="J16" s="47">
        <f t="shared" si="0"/>
        <v>0</v>
      </c>
      <c r="K16" s="48">
        <f>SUMIF(Data!E:E,'มหาชัย(2)'!B16,Data!F:F)*J16</f>
        <v>0</v>
      </c>
      <c r="L16" s="49">
        <f t="shared" si="1"/>
        <v>0</v>
      </c>
      <c r="M16" s="50">
        <f t="shared" si="2"/>
        <v>0</v>
      </c>
      <c r="N16" s="33" t="e">
        <f>INDEX(Data!C:C,MATCH(F12,Data!B:B,0))</f>
        <v>#N/A</v>
      </c>
      <c r="O16" s="51" t="e">
        <f t="shared" si="3"/>
        <v>#N/A</v>
      </c>
    </row>
    <row r="17" spans="1:15" ht="44.45" customHeight="1" x14ac:dyDescent="0.2">
      <c r="A17" s="36">
        <v>10</v>
      </c>
      <c r="B17" s="26" t="s">
        <v>88</v>
      </c>
      <c r="C17" s="27">
        <f>SUMIF(Data!E:E,B17,Data!F:F)</f>
        <v>48</v>
      </c>
      <c r="D17" s="28"/>
      <c r="E17" s="29" t="s">
        <v>14</v>
      </c>
      <c r="F17" s="30"/>
      <c r="G17" s="31"/>
      <c r="H17" s="32">
        <f t="shared" si="4"/>
        <v>0</v>
      </c>
      <c r="J17" s="47">
        <f t="shared" si="0"/>
        <v>0</v>
      </c>
      <c r="K17" s="48">
        <f>SUMIF(Data!E:E,'มหาชัย(2)'!B17,Data!F:F)*J17</f>
        <v>0</v>
      </c>
      <c r="L17" s="49">
        <f t="shared" si="1"/>
        <v>0</v>
      </c>
      <c r="M17" s="50">
        <f t="shared" si="2"/>
        <v>0</v>
      </c>
      <c r="N17" s="33" t="e">
        <f>INDEX(Data!C:C,MATCH(F13,Data!B:B,0))</f>
        <v>#N/A</v>
      </c>
      <c r="O17" s="51" t="e">
        <f t="shared" si="3"/>
        <v>#N/A</v>
      </c>
    </row>
    <row r="18" spans="1:15" ht="44.45" customHeight="1" x14ac:dyDescent="0.2">
      <c r="A18" s="36">
        <v>11</v>
      </c>
      <c r="B18" s="26" t="s">
        <v>87</v>
      </c>
      <c r="C18" s="27">
        <f>SUMIF(Data!E:E,B18,Data!F:F)</f>
        <v>48</v>
      </c>
      <c r="D18" s="28"/>
      <c r="E18" s="29" t="s">
        <v>14</v>
      </c>
      <c r="F18" s="30"/>
      <c r="G18" s="31"/>
      <c r="H18" s="32">
        <f t="shared" si="4"/>
        <v>0</v>
      </c>
      <c r="J18" s="47">
        <f t="shared" si="0"/>
        <v>0</v>
      </c>
      <c r="K18" s="48">
        <f>SUMIF(Data!E:E,'มหาชัย(2)'!B18,Data!F:F)*J18</f>
        <v>0</v>
      </c>
      <c r="L18" s="49">
        <f t="shared" si="1"/>
        <v>0</v>
      </c>
      <c r="M18" s="50">
        <f t="shared" si="2"/>
        <v>0</v>
      </c>
      <c r="N18" s="33" t="e">
        <f>INDEX(Data!C:C,MATCH(F14,Data!B:B,0))</f>
        <v>#N/A</v>
      </c>
      <c r="O18" s="51" t="e">
        <f t="shared" si="3"/>
        <v>#N/A</v>
      </c>
    </row>
    <row r="19" spans="1:15" ht="44.45" customHeight="1" x14ac:dyDescent="0.2">
      <c r="A19" s="36">
        <v>12</v>
      </c>
      <c r="B19" s="26" t="s">
        <v>90</v>
      </c>
      <c r="C19" s="27">
        <f>SUMIF(Data!E:E,B19,Data!F:F)</f>
        <v>60</v>
      </c>
      <c r="D19" s="28"/>
      <c r="E19" s="29" t="s">
        <v>14</v>
      </c>
      <c r="F19" s="30"/>
      <c r="G19" s="31"/>
      <c r="H19" s="32">
        <f t="shared" si="4"/>
        <v>0</v>
      </c>
      <c r="J19" s="47">
        <f t="shared" si="0"/>
        <v>0</v>
      </c>
      <c r="K19" s="48">
        <f>SUMIF(Data!E:E,'มหาชัย(2)'!B19,Data!F:F)*J19</f>
        <v>0</v>
      </c>
      <c r="L19" s="49">
        <f t="shared" si="1"/>
        <v>0</v>
      </c>
      <c r="M19" s="50">
        <f t="shared" si="2"/>
        <v>0</v>
      </c>
      <c r="N19" s="33" t="e">
        <f>INDEX(Data!C:C,MATCH(F15,Data!B:B,0))</f>
        <v>#N/A</v>
      </c>
      <c r="O19" s="51" t="e">
        <f t="shared" si="3"/>
        <v>#N/A</v>
      </c>
    </row>
    <row r="20" spans="1:15" ht="44.45" customHeight="1" x14ac:dyDescent="0.2">
      <c r="A20" s="36">
        <v>13</v>
      </c>
      <c r="B20" s="26" t="s">
        <v>91</v>
      </c>
      <c r="C20" s="27">
        <f>SUMIF(Data!E:E,B20,Data!F:F)</f>
        <v>50</v>
      </c>
      <c r="D20" s="28"/>
      <c r="E20" s="29" t="s">
        <v>14</v>
      </c>
      <c r="F20" s="30"/>
      <c r="G20" s="31"/>
      <c r="H20" s="32">
        <f t="shared" si="4"/>
        <v>0</v>
      </c>
      <c r="J20" s="47">
        <f t="shared" si="0"/>
        <v>0</v>
      </c>
      <c r="K20" s="48">
        <f>SUMIF(Data!E:E,'มหาชัย(2)'!B20,Data!F:F)*J20</f>
        <v>0</v>
      </c>
      <c r="L20" s="49">
        <f t="shared" si="1"/>
        <v>0</v>
      </c>
      <c r="M20" s="50">
        <f t="shared" si="2"/>
        <v>0</v>
      </c>
      <c r="N20" s="33" t="e">
        <f>INDEX(Data!C:C,MATCH(F16,Data!B:B,0))</f>
        <v>#N/A</v>
      </c>
      <c r="O20" s="51" t="e">
        <f t="shared" si="3"/>
        <v>#N/A</v>
      </c>
    </row>
    <row r="21" spans="1:15" ht="44.45" customHeight="1" x14ac:dyDescent="0.2">
      <c r="A21" s="36">
        <v>14</v>
      </c>
      <c r="B21" s="26" t="s">
        <v>93</v>
      </c>
      <c r="C21" s="27">
        <f>SUMIF(Data!E:E,B21,Data!F:F)</f>
        <v>60</v>
      </c>
      <c r="D21" s="28"/>
      <c r="E21" s="29" t="s">
        <v>14</v>
      </c>
      <c r="F21" s="30"/>
      <c r="G21" s="31"/>
      <c r="H21" s="32">
        <f t="shared" si="4"/>
        <v>0</v>
      </c>
      <c r="J21" s="47">
        <f t="shared" si="0"/>
        <v>0</v>
      </c>
      <c r="K21" s="48">
        <f>SUMIF(Data!E:E,'มหาชัย(2)'!B21,Data!F:F)*J21</f>
        <v>0</v>
      </c>
      <c r="L21" s="49">
        <f t="shared" si="1"/>
        <v>0</v>
      </c>
      <c r="M21" s="50">
        <f t="shared" si="2"/>
        <v>0</v>
      </c>
      <c r="N21" s="33" t="e">
        <f>INDEX(Data!C:C,MATCH(F17,Data!B:B,0))</f>
        <v>#N/A</v>
      </c>
      <c r="O21" s="51" t="e">
        <f t="shared" si="3"/>
        <v>#N/A</v>
      </c>
    </row>
    <row r="22" spans="1:15" ht="44.45" customHeight="1" x14ac:dyDescent="0.2">
      <c r="A22" s="36">
        <v>15</v>
      </c>
      <c r="B22" s="26" t="s">
        <v>94</v>
      </c>
      <c r="C22" s="27">
        <f>SUMIF(Data!E:E,B22,Data!F:F)</f>
        <v>55</v>
      </c>
      <c r="D22" s="28"/>
      <c r="E22" s="29" t="s">
        <v>14</v>
      </c>
      <c r="F22" s="30"/>
      <c r="G22" s="31"/>
      <c r="H22" s="32">
        <f t="shared" si="4"/>
        <v>0</v>
      </c>
      <c r="J22" s="47">
        <f t="shared" si="0"/>
        <v>0</v>
      </c>
      <c r="K22" s="48">
        <f>SUMIF(Data!E:E,'มหาชัย(2)'!B22,Data!F:F)*J22</f>
        <v>0</v>
      </c>
      <c r="L22" s="49">
        <f t="shared" si="1"/>
        <v>0</v>
      </c>
      <c r="M22" s="50">
        <f t="shared" si="2"/>
        <v>0</v>
      </c>
      <c r="N22" s="33" t="e">
        <f>INDEX(Data!C:C,MATCH(F18,Data!B:B,0))</f>
        <v>#N/A</v>
      </c>
      <c r="O22" s="51" t="e">
        <f t="shared" si="3"/>
        <v>#N/A</v>
      </c>
    </row>
    <row r="23" spans="1:15" ht="44.45" customHeight="1" x14ac:dyDescent="0.2">
      <c r="A23" s="36">
        <v>16</v>
      </c>
      <c r="B23" s="26" t="s">
        <v>95</v>
      </c>
      <c r="C23" s="27">
        <f>SUMIF(Data!E:E,B23,Data!F:F)</f>
        <v>50</v>
      </c>
      <c r="D23" s="28"/>
      <c r="E23" s="29" t="s">
        <v>14</v>
      </c>
      <c r="F23" s="30"/>
      <c r="G23" s="31"/>
      <c r="H23" s="32">
        <f t="shared" si="4"/>
        <v>0</v>
      </c>
      <c r="J23" s="47">
        <f t="shared" si="0"/>
        <v>0</v>
      </c>
      <c r="K23" s="48">
        <f>SUMIF(Data!E:E,'มหาชัย(2)'!B23,Data!F:F)*J23</f>
        <v>0</v>
      </c>
      <c r="L23" s="49">
        <f t="shared" si="1"/>
        <v>0</v>
      </c>
      <c r="M23" s="50">
        <f t="shared" si="2"/>
        <v>0</v>
      </c>
      <c r="N23" s="33" t="e">
        <f>INDEX(Data!C:C,MATCH(F19,Data!B:B,0))</f>
        <v>#N/A</v>
      </c>
      <c r="O23" s="51" t="e">
        <f t="shared" si="3"/>
        <v>#N/A</v>
      </c>
    </row>
    <row r="24" spans="1:15" ht="44.45" customHeight="1" x14ac:dyDescent="0.2">
      <c r="A24" s="36">
        <v>17</v>
      </c>
      <c r="B24" s="26" t="s">
        <v>98</v>
      </c>
      <c r="C24" s="27">
        <f>SUMIF(Data!E:E,B24,Data!F:F)</f>
        <v>55</v>
      </c>
      <c r="D24" s="28"/>
      <c r="E24" s="29" t="s">
        <v>14</v>
      </c>
      <c r="F24" s="30"/>
      <c r="G24" s="31"/>
      <c r="H24" s="32">
        <f t="shared" si="4"/>
        <v>0</v>
      </c>
      <c r="J24" s="47">
        <f t="shared" si="0"/>
        <v>0</v>
      </c>
      <c r="K24" s="48">
        <f>SUMIF(Data!E:E,'มหาชัย(2)'!B24,Data!F:F)*J24</f>
        <v>0</v>
      </c>
      <c r="L24" s="49">
        <f t="shared" si="1"/>
        <v>0</v>
      </c>
      <c r="M24" s="50">
        <f t="shared" si="2"/>
        <v>0</v>
      </c>
      <c r="N24" s="33" t="e">
        <f>INDEX(Data!C:C,MATCH(F20,Data!B:B,0))</f>
        <v>#N/A</v>
      </c>
      <c r="O24" s="51" t="e">
        <f t="shared" si="3"/>
        <v>#N/A</v>
      </c>
    </row>
    <row r="25" spans="1:15" ht="44.45" customHeight="1" x14ac:dyDescent="0.2">
      <c r="A25" s="36">
        <v>18</v>
      </c>
      <c r="B25" s="26" t="s">
        <v>99</v>
      </c>
      <c r="C25" s="27">
        <f>SUMIF(Data!E:E,B25,Data!F:F)</f>
        <v>55</v>
      </c>
      <c r="D25" s="28"/>
      <c r="E25" s="29" t="s">
        <v>14</v>
      </c>
      <c r="F25" s="30"/>
      <c r="G25" s="31"/>
      <c r="H25" s="32">
        <f t="shared" si="4"/>
        <v>0</v>
      </c>
      <c r="J25" s="47">
        <f t="shared" si="0"/>
        <v>0</v>
      </c>
      <c r="K25" s="48">
        <f>SUMIF(Data!E:E,'มหาชัย(2)'!B25,Data!F:F)*J25</f>
        <v>0</v>
      </c>
      <c r="L25" s="49">
        <f t="shared" si="1"/>
        <v>0</v>
      </c>
      <c r="M25" s="50">
        <f t="shared" si="2"/>
        <v>0</v>
      </c>
      <c r="N25" s="33" t="e">
        <f>INDEX(Data!C:C,MATCH(F21,Data!B:B,0))</f>
        <v>#N/A</v>
      </c>
      <c r="O25" s="51" t="e">
        <f t="shared" si="3"/>
        <v>#N/A</v>
      </c>
    </row>
    <row r="26" spans="1:15" ht="44.45" customHeight="1" x14ac:dyDescent="0.2">
      <c r="A26" s="36">
        <v>19</v>
      </c>
      <c r="B26" s="26" t="s">
        <v>100</v>
      </c>
      <c r="C26" s="27">
        <f>SUMIF(Data!E:E,B26,Data!F:F)</f>
        <v>81</v>
      </c>
      <c r="D26" s="28"/>
      <c r="E26" s="29" t="s">
        <v>14</v>
      </c>
      <c r="F26" s="30"/>
      <c r="G26" s="31"/>
      <c r="H26" s="32">
        <f t="shared" si="4"/>
        <v>0</v>
      </c>
      <c r="J26" s="47">
        <f t="shared" si="0"/>
        <v>0</v>
      </c>
      <c r="K26" s="48">
        <f>SUMIF(Data!E:E,'มหาชัย(2)'!B26,Data!F:F)*J26</f>
        <v>0</v>
      </c>
      <c r="L26" s="49">
        <f t="shared" si="1"/>
        <v>0</v>
      </c>
      <c r="M26" s="50">
        <f t="shared" si="2"/>
        <v>0</v>
      </c>
      <c r="N26" s="33" t="e">
        <f>INDEX(Data!C:C,MATCH(F22,Data!B:B,0))</f>
        <v>#N/A</v>
      </c>
      <c r="O26" s="51" t="e">
        <f t="shared" si="3"/>
        <v>#N/A</v>
      </c>
    </row>
    <row r="27" spans="1:15" ht="54.6" customHeight="1" x14ac:dyDescent="0.2">
      <c r="A27" s="60" t="s">
        <v>5</v>
      </c>
      <c r="B27" s="60"/>
      <c r="C27" s="40"/>
      <c r="D27" s="41"/>
      <c r="E27" s="42"/>
      <c r="F27" s="42"/>
      <c r="G27" s="42"/>
      <c r="H27" s="1"/>
      <c r="J27" s="14" t="s">
        <v>39</v>
      </c>
      <c r="K27" s="14" t="s">
        <v>41</v>
      </c>
      <c r="L27" s="14" t="s">
        <v>57</v>
      </c>
    </row>
    <row r="28" spans="1:15" ht="20.100000000000001" customHeight="1" x14ac:dyDescent="0.2">
      <c r="J28" s="13">
        <f>SUM($J$8:$J$26)</f>
        <v>0</v>
      </c>
      <c r="K28" s="13">
        <f>SUM($L$8:$L$26)</f>
        <v>0</v>
      </c>
      <c r="L28" s="13">
        <f>SUM(J28:K28)</f>
        <v>0</v>
      </c>
    </row>
    <row r="29" spans="1:15" ht="20.100000000000001" customHeight="1" x14ac:dyDescent="0.2">
      <c r="L29" s="13"/>
    </row>
    <row r="30" spans="1:15" ht="61.5" customHeight="1" x14ac:dyDescent="0.25">
      <c r="A30" s="8"/>
      <c r="B30" s="9" t="s">
        <v>29</v>
      </c>
      <c r="C30" s="9"/>
      <c r="G30" s="8" t="s">
        <v>31</v>
      </c>
      <c r="K30" s="11"/>
      <c r="L30" s="8"/>
      <c r="N30" s="8"/>
      <c r="O30" s="8"/>
    </row>
    <row r="31" spans="1:15" ht="61.5" customHeight="1" x14ac:dyDescent="0.25">
      <c r="A31" s="8"/>
      <c r="B31" s="8" t="s">
        <v>28</v>
      </c>
      <c r="C31" s="8"/>
      <c r="F31" s="8"/>
      <c r="G31" s="8" t="s">
        <v>32</v>
      </c>
      <c r="H31" s="8"/>
      <c r="K31" s="11"/>
      <c r="L31" s="8"/>
      <c r="N31" s="8"/>
      <c r="O31" s="8"/>
    </row>
    <row r="32" spans="1:15" ht="61.5" customHeight="1" x14ac:dyDescent="0.25">
      <c r="A32" s="8"/>
      <c r="B32" s="8" t="s">
        <v>30</v>
      </c>
      <c r="C32" s="8"/>
      <c r="F32" s="8"/>
      <c r="G32" s="8" t="s">
        <v>33</v>
      </c>
      <c r="H32" s="9"/>
      <c r="J32" s="11"/>
      <c r="L32" s="9"/>
      <c r="N32" s="9"/>
      <c r="O32" s="9"/>
    </row>
    <row r="33" ht="20.100000000000001" customHeight="1" x14ac:dyDescent="0.2"/>
    <row r="34" ht="20.100000000000001" customHeight="1" x14ac:dyDescent="0.2"/>
    <row r="35" ht="20.100000000000001" customHeight="1" x14ac:dyDescent="0.2"/>
    <row r="36" ht="20.100000000000001" customHeight="1" x14ac:dyDescent="0.2"/>
    <row r="37" ht="20.100000000000001" customHeight="1" x14ac:dyDescent="0.2"/>
    <row r="38" ht="20.100000000000001" customHeight="1" x14ac:dyDescent="0.2"/>
    <row r="39" ht="20.100000000000001" customHeight="1" x14ac:dyDescent="0.2"/>
    <row r="40" ht="20.100000000000001" customHeight="1" x14ac:dyDescent="0.2"/>
    <row r="41" ht="20.100000000000001" customHeight="1" x14ac:dyDescent="0.2"/>
  </sheetData>
  <mergeCells count="13">
    <mergeCell ref="A1:F2"/>
    <mergeCell ref="A3:H3"/>
    <mergeCell ref="D4:E4"/>
    <mergeCell ref="F4:H4"/>
    <mergeCell ref="A5:A6"/>
    <mergeCell ref="B5:B6"/>
    <mergeCell ref="D5:E5"/>
    <mergeCell ref="F5:H6"/>
    <mergeCell ref="J5:M5"/>
    <mergeCell ref="D6:E6"/>
    <mergeCell ref="J6:K6"/>
    <mergeCell ref="L6:M6"/>
    <mergeCell ref="A27:B27"/>
  </mergeCells>
  <conditionalFormatting sqref="H8:H26">
    <cfRule type="cellIs" dxfId="149" priority="5" operator="lessThan">
      <formula>-1</formula>
    </cfRule>
    <cfRule type="cellIs" dxfId="148" priority="6" operator="equal">
      <formula>"-"</formula>
    </cfRule>
  </conditionalFormatting>
  <conditionalFormatting sqref="J8:O26">
    <cfRule type="containsErrors" dxfId="147" priority="4">
      <formula>ISERROR(J8)</formula>
    </cfRule>
  </conditionalFormatting>
  <conditionalFormatting sqref="O8:O26">
    <cfRule type="cellIs" dxfId="146" priority="1" operator="lessThan">
      <formula>0</formula>
    </cfRule>
    <cfRule type="cellIs" dxfId="145" priority="2" operator="greaterThan">
      <formula>15</formula>
    </cfRule>
    <cfRule type="cellIs" dxfId="144" priority="3" operator="lessThan">
      <formula>16</formula>
    </cfRule>
  </conditionalFormatting>
  <pageMargins left="0.7" right="0.7" top="0.75" bottom="0.75" header="0.3" footer="0.3"/>
  <pageSetup paperSize="9" scale="38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D30F670-6322-41A8-A6A1-1DC55B245A36}">
          <x14:formula1>
            <xm:f>Data!$B$2:$B$22</xm:f>
          </x14:formula1>
          <xm:sqref>F4</xm:sqref>
        </x14:dataValidation>
        <x14:dataValidation type="list" allowBlank="1" showInputMessage="1" showErrorMessage="1" xr:uid="{73CF299C-F43F-4018-AF41-678DBE1EAC12}">
          <x14:formula1>
            <xm:f>Data!$G$2:$G$6</xm:f>
          </x14:formula1>
          <xm:sqref>E8:E26</xm:sqref>
        </x14:dataValidation>
        <x14:dataValidation type="list" allowBlank="1" showInputMessage="1" showErrorMessage="1" xr:uid="{C2C82805-C8DC-4659-B176-B6504CCFFBFE}">
          <x14:formula1>
            <xm:f>Data!$E$2:$E$37</xm:f>
          </x14:formula1>
          <xm:sqref>B8:B26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B22F8-57C6-4D46-BED5-8AEA548E7C56}">
  <sheetPr>
    <tabColor rgb="FF92D050"/>
    <pageSetUpPr fitToPage="1"/>
  </sheetPr>
  <dimension ref="A1:O41"/>
  <sheetViews>
    <sheetView topLeftCell="A7" zoomScale="55" zoomScaleNormal="55" zoomScaleSheetLayoutView="50" workbookViewId="0">
      <selection activeCell="B26" sqref="B26"/>
    </sheetView>
  </sheetViews>
  <sheetFormatPr defaultRowHeight="14.25" x14ac:dyDescent="0.2"/>
  <cols>
    <col min="2" max="2" width="60.875" customWidth="1"/>
    <col min="3" max="3" width="9.375" customWidth="1"/>
    <col min="4" max="4" width="19.625" customWidth="1"/>
    <col min="5" max="5" width="10.375" customWidth="1"/>
    <col min="6" max="7" width="22.125" customWidth="1"/>
    <col min="8" max="8" width="20.875" customWidth="1"/>
    <col min="9" max="9" width="1.875" customWidth="1"/>
    <col min="10" max="13" width="13.875" customWidth="1"/>
    <col min="14" max="14" width="8.75" customWidth="1"/>
    <col min="15" max="15" width="18.125" customWidth="1"/>
  </cols>
  <sheetData>
    <row r="1" spans="1:15" ht="39.6" customHeight="1" x14ac:dyDescent="0.2">
      <c r="A1" s="61" t="s">
        <v>19</v>
      </c>
      <c r="B1" s="61"/>
      <c r="C1" s="61"/>
      <c r="D1" s="61"/>
      <c r="E1" s="61"/>
      <c r="F1" s="61"/>
      <c r="G1" s="6" t="s">
        <v>17</v>
      </c>
      <c r="H1" s="5" t="s">
        <v>58</v>
      </c>
    </row>
    <row r="2" spans="1:15" ht="40.5" customHeight="1" thickBot="1" x14ac:dyDescent="0.25">
      <c r="A2" s="62"/>
      <c r="B2" s="62"/>
      <c r="C2" s="62"/>
      <c r="D2" s="62"/>
      <c r="E2" s="62"/>
      <c r="F2" s="62"/>
      <c r="G2" s="6" t="s">
        <v>27</v>
      </c>
      <c r="H2" s="15"/>
    </row>
    <row r="3" spans="1:15" ht="48.6" customHeight="1" x14ac:dyDescent="0.2">
      <c r="A3" s="63" t="s">
        <v>1</v>
      </c>
      <c r="B3" s="64"/>
      <c r="C3" s="64"/>
      <c r="D3" s="64"/>
      <c r="E3" s="64"/>
      <c r="F3" s="64"/>
      <c r="G3" s="64"/>
      <c r="H3" s="65"/>
    </row>
    <row r="4" spans="1:15" ht="54.95" customHeight="1" x14ac:dyDescent="0.2">
      <c r="A4" s="33" t="s">
        <v>0</v>
      </c>
      <c r="B4" s="34" t="s">
        <v>21</v>
      </c>
      <c r="C4" s="35"/>
      <c r="D4" s="66" t="s">
        <v>6</v>
      </c>
      <c r="E4" s="66"/>
      <c r="F4" s="57" t="s">
        <v>54</v>
      </c>
      <c r="G4" s="57"/>
      <c r="H4" s="57"/>
    </row>
    <row r="5" spans="1:15" ht="30.95" customHeight="1" x14ac:dyDescent="0.2">
      <c r="A5" s="55" t="s">
        <v>2</v>
      </c>
      <c r="B5" s="67"/>
      <c r="C5" s="37"/>
      <c r="D5" s="55" t="s">
        <v>18</v>
      </c>
      <c r="E5" s="55"/>
      <c r="F5" s="68"/>
      <c r="G5" s="68"/>
      <c r="H5" s="68"/>
      <c r="J5" s="55" t="s">
        <v>38</v>
      </c>
      <c r="K5" s="55"/>
      <c r="L5" s="55"/>
      <c r="M5" s="55"/>
    </row>
    <row r="6" spans="1:15" ht="30.6" customHeight="1" x14ac:dyDescent="0.2">
      <c r="A6" s="55"/>
      <c r="B6" s="67"/>
      <c r="C6" s="37"/>
      <c r="D6" s="56"/>
      <c r="E6" s="57"/>
      <c r="F6" s="68"/>
      <c r="G6" s="68"/>
      <c r="H6" s="68"/>
      <c r="J6" s="58" t="s">
        <v>39</v>
      </c>
      <c r="K6" s="58"/>
      <c r="L6" s="59" t="s">
        <v>41</v>
      </c>
      <c r="M6" s="59"/>
    </row>
    <row r="7" spans="1:15" s="7" customFormat="1" ht="36.6" customHeight="1" x14ac:dyDescent="0.25">
      <c r="A7" s="38" t="s">
        <v>3</v>
      </c>
      <c r="B7" s="38" t="s">
        <v>4</v>
      </c>
      <c r="C7" s="38" t="s">
        <v>42</v>
      </c>
      <c r="D7" s="38" t="s">
        <v>11</v>
      </c>
      <c r="E7" s="38" t="s">
        <v>12</v>
      </c>
      <c r="F7" s="38" t="s">
        <v>9</v>
      </c>
      <c r="G7" s="38" t="s">
        <v>10</v>
      </c>
      <c r="H7" s="39" t="s">
        <v>24</v>
      </c>
      <c r="J7" s="43" t="s">
        <v>40</v>
      </c>
      <c r="K7" s="44" t="s">
        <v>14</v>
      </c>
      <c r="L7" s="45" t="s">
        <v>40</v>
      </c>
      <c r="M7" s="46" t="s">
        <v>14</v>
      </c>
      <c r="N7" s="42" t="s">
        <v>25</v>
      </c>
      <c r="O7" s="42" t="s">
        <v>26</v>
      </c>
    </row>
    <row r="8" spans="1:15" ht="44.45" customHeight="1" x14ac:dyDescent="0.2">
      <c r="A8" s="36">
        <v>1</v>
      </c>
      <c r="B8" s="26" t="s">
        <v>77</v>
      </c>
      <c r="C8" s="27">
        <f>SUMIF(Data!E:E,B8,Data!F:F)</f>
        <v>42</v>
      </c>
      <c r="D8" s="28"/>
      <c r="E8" s="29" t="s">
        <v>14</v>
      </c>
      <c r="F8" s="30"/>
      <c r="G8" s="31"/>
      <c r="H8" s="32">
        <f>+G8-$D$6</f>
        <v>0</v>
      </c>
      <c r="J8" s="47">
        <f t="shared" ref="J8:J26" si="0">ROUNDDOWN((D8/C8),0)</f>
        <v>0</v>
      </c>
      <c r="K8" s="48">
        <f>SUMIF(Data!E:E,'มหาชัย(2)'!B8,Data!F:F)*J8</f>
        <v>0</v>
      </c>
      <c r="L8" s="49">
        <f t="shared" ref="L8:L26" si="1">ROUNDUP((M8/C8),0)</f>
        <v>0</v>
      </c>
      <c r="M8" s="50">
        <f t="shared" ref="M8:M26" si="2">D8-K8</f>
        <v>0</v>
      </c>
      <c r="N8" s="33">
        <f>INDEX(Data!C:C,MATCH(F4,Data!B:B,0))</f>
        <v>60</v>
      </c>
      <c r="O8" s="51">
        <f t="shared" ref="O8:O26" si="3">H8-N8</f>
        <v>-60</v>
      </c>
    </row>
    <row r="9" spans="1:15" ht="44.45" customHeight="1" x14ac:dyDescent="0.2">
      <c r="A9" s="36">
        <v>2</v>
      </c>
      <c r="B9" s="26" t="s">
        <v>66</v>
      </c>
      <c r="C9" s="27">
        <f>SUMIF(Data!E:E,B9,Data!F:F)</f>
        <v>36</v>
      </c>
      <c r="D9" s="28"/>
      <c r="E9" s="29" t="s">
        <v>14</v>
      </c>
      <c r="F9" s="30"/>
      <c r="G9" s="31"/>
      <c r="H9" s="32">
        <f t="shared" ref="H9:H26" si="4">+G9-$D$6</f>
        <v>0</v>
      </c>
      <c r="J9" s="47">
        <f t="shared" si="0"/>
        <v>0</v>
      </c>
      <c r="K9" s="48">
        <f>SUMIF(Data!E:E,'มหาชัย(2)'!B9,Data!F:F)*J9</f>
        <v>0</v>
      </c>
      <c r="L9" s="49">
        <f t="shared" si="1"/>
        <v>0</v>
      </c>
      <c r="M9" s="50">
        <f t="shared" si="2"/>
        <v>0</v>
      </c>
      <c r="N9" s="33" t="e">
        <f>INDEX(Data!C:C,MATCH(F5,Data!B:B,0))</f>
        <v>#N/A</v>
      </c>
      <c r="O9" s="51" t="e">
        <f t="shared" si="3"/>
        <v>#N/A</v>
      </c>
    </row>
    <row r="10" spans="1:15" ht="44.45" customHeight="1" x14ac:dyDescent="0.2">
      <c r="A10" s="36">
        <v>3</v>
      </c>
      <c r="B10" s="26" t="s">
        <v>79</v>
      </c>
      <c r="C10" s="27">
        <f>SUMIF(Data!E:E,B10,Data!F:F)</f>
        <v>42</v>
      </c>
      <c r="D10" s="28"/>
      <c r="E10" s="29" t="s">
        <v>14</v>
      </c>
      <c r="F10" s="30"/>
      <c r="G10" s="31"/>
      <c r="H10" s="32">
        <f t="shared" si="4"/>
        <v>0</v>
      </c>
      <c r="J10" s="47">
        <f t="shared" si="0"/>
        <v>0</v>
      </c>
      <c r="K10" s="48">
        <f>SUMIF(Data!E:E,'มหาชัย(2)'!B10,Data!F:F)*J10</f>
        <v>0</v>
      </c>
      <c r="L10" s="49">
        <f t="shared" si="1"/>
        <v>0</v>
      </c>
      <c r="M10" s="50">
        <f t="shared" si="2"/>
        <v>0</v>
      </c>
      <c r="N10" s="33" t="e">
        <f>INDEX(Data!C:C,MATCH(F6,Data!B:B,0))</f>
        <v>#N/A</v>
      </c>
      <c r="O10" s="51" t="e">
        <f t="shared" si="3"/>
        <v>#N/A</v>
      </c>
    </row>
    <row r="11" spans="1:15" ht="44.45" customHeight="1" x14ac:dyDescent="0.2">
      <c r="A11" s="36">
        <v>4</v>
      </c>
      <c r="B11" s="26" t="s">
        <v>80</v>
      </c>
      <c r="C11" s="27">
        <f>SUMIF(Data!E:E,B11,Data!F:F)</f>
        <v>50</v>
      </c>
      <c r="D11" s="28"/>
      <c r="E11" s="29" t="s">
        <v>14</v>
      </c>
      <c r="F11" s="30"/>
      <c r="G11" s="31"/>
      <c r="H11" s="32">
        <f t="shared" si="4"/>
        <v>0</v>
      </c>
      <c r="J11" s="47">
        <f t="shared" si="0"/>
        <v>0</v>
      </c>
      <c r="K11" s="48">
        <f>SUMIF(Data!E:E,'มหาชัย(2)'!B11,Data!F:F)*J11</f>
        <v>0</v>
      </c>
      <c r="L11" s="49">
        <f t="shared" si="1"/>
        <v>0</v>
      </c>
      <c r="M11" s="50">
        <f t="shared" si="2"/>
        <v>0</v>
      </c>
      <c r="N11" s="33" t="e">
        <f>INDEX(Data!C:C,MATCH(F7,Data!B:B,0))</f>
        <v>#N/A</v>
      </c>
      <c r="O11" s="51" t="e">
        <f t="shared" si="3"/>
        <v>#N/A</v>
      </c>
    </row>
    <row r="12" spans="1:15" ht="44.45" customHeight="1" x14ac:dyDescent="0.2">
      <c r="A12" s="36">
        <v>5</v>
      </c>
      <c r="B12" s="26" t="s">
        <v>71</v>
      </c>
      <c r="C12" s="27">
        <f>SUMIF(Data!E:E,B12,Data!F:F)</f>
        <v>81</v>
      </c>
      <c r="D12" s="28"/>
      <c r="E12" s="29" t="s">
        <v>14</v>
      </c>
      <c r="F12" s="30"/>
      <c r="G12" s="31"/>
      <c r="H12" s="32">
        <f t="shared" si="4"/>
        <v>0</v>
      </c>
      <c r="J12" s="47">
        <f t="shared" si="0"/>
        <v>0</v>
      </c>
      <c r="K12" s="48">
        <f>SUMIF(Data!E:E,'มหาชัย(2)'!B12,Data!F:F)*J12</f>
        <v>0</v>
      </c>
      <c r="L12" s="49">
        <f t="shared" si="1"/>
        <v>0</v>
      </c>
      <c r="M12" s="50">
        <f t="shared" si="2"/>
        <v>0</v>
      </c>
      <c r="N12" s="33" t="e">
        <f>INDEX(Data!C:C,MATCH(F8,Data!B:B,0))</f>
        <v>#N/A</v>
      </c>
      <c r="O12" s="51" t="e">
        <f t="shared" si="3"/>
        <v>#N/A</v>
      </c>
    </row>
    <row r="13" spans="1:15" ht="44.45" customHeight="1" x14ac:dyDescent="0.2">
      <c r="A13" s="36">
        <v>6</v>
      </c>
      <c r="B13" s="26" t="s">
        <v>84</v>
      </c>
      <c r="C13" s="27">
        <f>SUMIF(Data!E:E,B13,Data!F:F)</f>
        <v>42</v>
      </c>
      <c r="D13" s="28"/>
      <c r="E13" s="29" t="s">
        <v>14</v>
      </c>
      <c r="F13" s="30"/>
      <c r="G13" s="31"/>
      <c r="H13" s="32">
        <f t="shared" si="4"/>
        <v>0</v>
      </c>
      <c r="J13" s="47">
        <f t="shared" si="0"/>
        <v>0</v>
      </c>
      <c r="K13" s="48">
        <f>SUMIF(Data!E:E,'มหาชัย(2)'!B13,Data!F:F)*J13</f>
        <v>0</v>
      </c>
      <c r="L13" s="49">
        <f t="shared" si="1"/>
        <v>0</v>
      </c>
      <c r="M13" s="50">
        <f t="shared" si="2"/>
        <v>0</v>
      </c>
      <c r="N13" s="33" t="e">
        <f>INDEX(Data!C:C,MATCH(F9,Data!B:B,0))</f>
        <v>#N/A</v>
      </c>
      <c r="O13" s="51" t="e">
        <f t="shared" si="3"/>
        <v>#N/A</v>
      </c>
    </row>
    <row r="14" spans="1:15" ht="44.45" customHeight="1" x14ac:dyDescent="0.2">
      <c r="A14" s="36">
        <v>7</v>
      </c>
      <c r="B14" s="26" t="s">
        <v>85</v>
      </c>
      <c r="C14" s="27">
        <f>SUMIF(Data!E:E,B14,Data!F:F)</f>
        <v>32</v>
      </c>
      <c r="D14" s="28"/>
      <c r="E14" s="29" t="s">
        <v>14</v>
      </c>
      <c r="F14" s="30"/>
      <c r="G14" s="31"/>
      <c r="H14" s="32">
        <f t="shared" si="4"/>
        <v>0</v>
      </c>
      <c r="J14" s="47">
        <f t="shared" si="0"/>
        <v>0</v>
      </c>
      <c r="K14" s="48">
        <f>SUMIF(Data!E:E,'มหาชัย(2)'!B14,Data!F:F)*J14</f>
        <v>0</v>
      </c>
      <c r="L14" s="49">
        <f t="shared" si="1"/>
        <v>0</v>
      </c>
      <c r="M14" s="50">
        <f t="shared" si="2"/>
        <v>0</v>
      </c>
      <c r="N14" s="33" t="e">
        <f>INDEX(Data!C:C,MATCH(F10,Data!B:B,0))</f>
        <v>#N/A</v>
      </c>
      <c r="O14" s="51" t="e">
        <f t="shared" si="3"/>
        <v>#N/A</v>
      </c>
    </row>
    <row r="15" spans="1:15" ht="44.45" customHeight="1" x14ac:dyDescent="0.2">
      <c r="A15" s="36">
        <v>8</v>
      </c>
      <c r="B15" s="26" t="s">
        <v>76</v>
      </c>
      <c r="C15" s="27">
        <f>SUMIF(Data!E:E,B15,Data!F:F)</f>
        <v>70</v>
      </c>
      <c r="D15" s="28"/>
      <c r="E15" s="29" t="s">
        <v>14</v>
      </c>
      <c r="F15" s="30"/>
      <c r="G15" s="31"/>
      <c r="H15" s="32">
        <f t="shared" si="4"/>
        <v>0</v>
      </c>
      <c r="J15" s="47">
        <f t="shared" si="0"/>
        <v>0</v>
      </c>
      <c r="K15" s="48">
        <f>SUMIF(Data!E:E,'มหาชัย(2)'!B15,Data!F:F)*J15</f>
        <v>0</v>
      </c>
      <c r="L15" s="49">
        <f t="shared" si="1"/>
        <v>0</v>
      </c>
      <c r="M15" s="50">
        <f t="shared" si="2"/>
        <v>0</v>
      </c>
      <c r="N15" s="33" t="e">
        <f>INDEX(Data!C:C,MATCH(F11,Data!B:B,0))</f>
        <v>#N/A</v>
      </c>
      <c r="O15" s="51" t="e">
        <f t="shared" si="3"/>
        <v>#N/A</v>
      </c>
    </row>
    <row r="16" spans="1:15" ht="44.45" customHeight="1" x14ac:dyDescent="0.2">
      <c r="A16" s="36">
        <v>9</v>
      </c>
      <c r="B16" s="26" t="s">
        <v>89</v>
      </c>
      <c r="C16" s="27">
        <f>SUMIF(Data!E:E,B16,Data!F:F)</f>
        <v>45</v>
      </c>
      <c r="D16" s="28"/>
      <c r="E16" s="29" t="s">
        <v>14</v>
      </c>
      <c r="F16" s="30"/>
      <c r="G16" s="31"/>
      <c r="H16" s="32">
        <f t="shared" si="4"/>
        <v>0</v>
      </c>
      <c r="J16" s="47">
        <f t="shared" si="0"/>
        <v>0</v>
      </c>
      <c r="K16" s="48">
        <f>SUMIF(Data!E:E,'มหาชัย(2)'!B16,Data!F:F)*J16</f>
        <v>0</v>
      </c>
      <c r="L16" s="49">
        <f t="shared" si="1"/>
        <v>0</v>
      </c>
      <c r="M16" s="50">
        <f t="shared" si="2"/>
        <v>0</v>
      </c>
      <c r="N16" s="33" t="e">
        <f>INDEX(Data!C:C,MATCH(F12,Data!B:B,0))</f>
        <v>#N/A</v>
      </c>
      <c r="O16" s="51" t="e">
        <f t="shared" si="3"/>
        <v>#N/A</v>
      </c>
    </row>
    <row r="17" spans="1:15" ht="44.45" customHeight="1" x14ac:dyDescent="0.2">
      <c r="A17" s="36">
        <v>10</v>
      </c>
      <c r="B17" s="26" t="s">
        <v>88</v>
      </c>
      <c r="C17" s="27">
        <f>SUMIF(Data!E:E,B17,Data!F:F)</f>
        <v>48</v>
      </c>
      <c r="D17" s="28"/>
      <c r="E17" s="29" t="s">
        <v>14</v>
      </c>
      <c r="F17" s="30"/>
      <c r="G17" s="31"/>
      <c r="H17" s="32">
        <f t="shared" si="4"/>
        <v>0</v>
      </c>
      <c r="J17" s="47">
        <f t="shared" si="0"/>
        <v>0</v>
      </c>
      <c r="K17" s="48">
        <f>SUMIF(Data!E:E,'มหาชัย(2)'!B17,Data!F:F)*J17</f>
        <v>0</v>
      </c>
      <c r="L17" s="49">
        <f t="shared" si="1"/>
        <v>0</v>
      </c>
      <c r="M17" s="50">
        <f t="shared" si="2"/>
        <v>0</v>
      </c>
      <c r="N17" s="33" t="e">
        <f>INDEX(Data!C:C,MATCH(F13,Data!B:B,0))</f>
        <v>#N/A</v>
      </c>
      <c r="O17" s="51" t="e">
        <f t="shared" si="3"/>
        <v>#N/A</v>
      </c>
    </row>
    <row r="18" spans="1:15" ht="44.45" customHeight="1" x14ac:dyDescent="0.2">
      <c r="A18" s="36">
        <v>11</v>
      </c>
      <c r="B18" s="26" t="s">
        <v>87</v>
      </c>
      <c r="C18" s="27">
        <f>SUMIF(Data!E:E,B18,Data!F:F)</f>
        <v>48</v>
      </c>
      <c r="D18" s="28"/>
      <c r="E18" s="29" t="s">
        <v>14</v>
      </c>
      <c r="F18" s="30"/>
      <c r="G18" s="31"/>
      <c r="H18" s="32">
        <f t="shared" si="4"/>
        <v>0</v>
      </c>
      <c r="J18" s="47">
        <f t="shared" si="0"/>
        <v>0</v>
      </c>
      <c r="K18" s="48">
        <f>SUMIF(Data!E:E,'มหาชัย(2)'!B18,Data!F:F)*J18</f>
        <v>0</v>
      </c>
      <c r="L18" s="49">
        <f t="shared" si="1"/>
        <v>0</v>
      </c>
      <c r="M18" s="50">
        <f t="shared" si="2"/>
        <v>0</v>
      </c>
      <c r="N18" s="33" t="e">
        <f>INDEX(Data!C:C,MATCH(F14,Data!B:B,0))</f>
        <v>#N/A</v>
      </c>
      <c r="O18" s="51" t="e">
        <f t="shared" si="3"/>
        <v>#N/A</v>
      </c>
    </row>
    <row r="19" spans="1:15" ht="44.45" customHeight="1" x14ac:dyDescent="0.2">
      <c r="A19" s="36">
        <v>12</v>
      </c>
      <c r="B19" s="26" t="s">
        <v>90</v>
      </c>
      <c r="C19" s="27">
        <f>SUMIF(Data!E:E,B19,Data!F:F)</f>
        <v>60</v>
      </c>
      <c r="D19" s="28"/>
      <c r="E19" s="29" t="s">
        <v>14</v>
      </c>
      <c r="F19" s="30"/>
      <c r="G19" s="31"/>
      <c r="H19" s="32">
        <f t="shared" si="4"/>
        <v>0</v>
      </c>
      <c r="J19" s="47">
        <f t="shared" si="0"/>
        <v>0</v>
      </c>
      <c r="K19" s="48">
        <f>SUMIF(Data!E:E,'มหาชัย(2)'!B19,Data!F:F)*J19</f>
        <v>0</v>
      </c>
      <c r="L19" s="49">
        <f t="shared" si="1"/>
        <v>0</v>
      </c>
      <c r="M19" s="50">
        <f t="shared" si="2"/>
        <v>0</v>
      </c>
      <c r="N19" s="33" t="e">
        <f>INDEX(Data!C:C,MATCH(F15,Data!B:B,0))</f>
        <v>#N/A</v>
      </c>
      <c r="O19" s="51" t="e">
        <f t="shared" si="3"/>
        <v>#N/A</v>
      </c>
    </row>
    <row r="20" spans="1:15" ht="44.45" customHeight="1" x14ac:dyDescent="0.2">
      <c r="A20" s="36">
        <v>13</v>
      </c>
      <c r="B20" s="26" t="s">
        <v>91</v>
      </c>
      <c r="C20" s="27">
        <f>SUMIF(Data!E:E,B20,Data!F:F)</f>
        <v>50</v>
      </c>
      <c r="D20" s="28"/>
      <c r="E20" s="29" t="s">
        <v>14</v>
      </c>
      <c r="F20" s="30"/>
      <c r="G20" s="31"/>
      <c r="H20" s="32">
        <f t="shared" si="4"/>
        <v>0</v>
      </c>
      <c r="J20" s="47">
        <f t="shared" si="0"/>
        <v>0</v>
      </c>
      <c r="K20" s="48">
        <f>SUMIF(Data!E:E,'มหาชัย(2)'!B20,Data!F:F)*J20</f>
        <v>0</v>
      </c>
      <c r="L20" s="49">
        <f t="shared" si="1"/>
        <v>0</v>
      </c>
      <c r="M20" s="50">
        <f t="shared" si="2"/>
        <v>0</v>
      </c>
      <c r="N20" s="33" t="e">
        <f>INDEX(Data!C:C,MATCH(F16,Data!B:B,0))</f>
        <v>#N/A</v>
      </c>
      <c r="O20" s="51" t="e">
        <f t="shared" si="3"/>
        <v>#N/A</v>
      </c>
    </row>
    <row r="21" spans="1:15" ht="44.45" customHeight="1" x14ac:dyDescent="0.2">
      <c r="A21" s="36">
        <v>14</v>
      </c>
      <c r="B21" s="26" t="s">
        <v>93</v>
      </c>
      <c r="C21" s="27">
        <f>SUMIF(Data!E:E,B21,Data!F:F)</f>
        <v>60</v>
      </c>
      <c r="D21" s="28"/>
      <c r="E21" s="29" t="s">
        <v>14</v>
      </c>
      <c r="F21" s="30"/>
      <c r="G21" s="31"/>
      <c r="H21" s="32">
        <f t="shared" si="4"/>
        <v>0</v>
      </c>
      <c r="J21" s="47">
        <f t="shared" si="0"/>
        <v>0</v>
      </c>
      <c r="K21" s="48">
        <f>SUMIF(Data!E:E,'มหาชัย(2)'!B21,Data!F:F)*J21</f>
        <v>0</v>
      </c>
      <c r="L21" s="49">
        <f t="shared" si="1"/>
        <v>0</v>
      </c>
      <c r="M21" s="50">
        <f t="shared" si="2"/>
        <v>0</v>
      </c>
      <c r="N21" s="33" t="e">
        <f>INDEX(Data!C:C,MATCH(F17,Data!B:B,0))</f>
        <v>#N/A</v>
      </c>
      <c r="O21" s="51" t="e">
        <f t="shared" si="3"/>
        <v>#N/A</v>
      </c>
    </row>
    <row r="22" spans="1:15" ht="44.45" customHeight="1" x14ac:dyDescent="0.2">
      <c r="A22" s="36">
        <v>15</v>
      </c>
      <c r="B22" s="26" t="s">
        <v>94</v>
      </c>
      <c r="C22" s="27">
        <f>SUMIF(Data!E:E,B22,Data!F:F)</f>
        <v>55</v>
      </c>
      <c r="D22" s="28"/>
      <c r="E22" s="29" t="s">
        <v>14</v>
      </c>
      <c r="F22" s="30"/>
      <c r="G22" s="31"/>
      <c r="H22" s="32">
        <f t="shared" si="4"/>
        <v>0</v>
      </c>
      <c r="J22" s="47">
        <f t="shared" si="0"/>
        <v>0</v>
      </c>
      <c r="K22" s="48">
        <f>SUMIF(Data!E:E,'มหาชัย(2)'!B22,Data!F:F)*J22</f>
        <v>0</v>
      </c>
      <c r="L22" s="49">
        <f t="shared" si="1"/>
        <v>0</v>
      </c>
      <c r="M22" s="50">
        <f t="shared" si="2"/>
        <v>0</v>
      </c>
      <c r="N22" s="33" t="e">
        <f>INDEX(Data!C:C,MATCH(F18,Data!B:B,0))</f>
        <v>#N/A</v>
      </c>
      <c r="O22" s="51" t="e">
        <f t="shared" si="3"/>
        <v>#N/A</v>
      </c>
    </row>
    <row r="23" spans="1:15" ht="44.45" customHeight="1" x14ac:dyDescent="0.2">
      <c r="A23" s="36">
        <v>16</v>
      </c>
      <c r="B23" s="26" t="s">
        <v>95</v>
      </c>
      <c r="C23" s="27">
        <f>SUMIF(Data!E:E,B23,Data!F:F)</f>
        <v>50</v>
      </c>
      <c r="D23" s="28"/>
      <c r="E23" s="29" t="s">
        <v>14</v>
      </c>
      <c r="F23" s="30"/>
      <c r="G23" s="31"/>
      <c r="H23" s="32">
        <f t="shared" si="4"/>
        <v>0</v>
      </c>
      <c r="J23" s="47">
        <f t="shared" si="0"/>
        <v>0</v>
      </c>
      <c r="K23" s="48">
        <f>SUMIF(Data!E:E,'มหาชัย(2)'!B23,Data!F:F)*J23</f>
        <v>0</v>
      </c>
      <c r="L23" s="49">
        <f t="shared" si="1"/>
        <v>0</v>
      </c>
      <c r="M23" s="50">
        <f t="shared" si="2"/>
        <v>0</v>
      </c>
      <c r="N23" s="33" t="e">
        <f>INDEX(Data!C:C,MATCH(F19,Data!B:B,0))</f>
        <v>#N/A</v>
      </c>
      <c r="O23" s="51" t="e">
        <f t="shared" si="3"/>
        <v>#N/A</v>
      </c>
    </row>
    <row r="24" spans="1:15" ht="44.45" customHeight="1" x14ac:dyDescent="0.2">
      <c r="A24" s="36">
        <v>17</v>
      </c>
      <c r="B24" s="26" t="s">
        <v>98</v>
      </c>
      <c r="C24" s="27">
        <f>SUMIF(Data!E:E,B24,Data!F:F)</f>
        <v>55</v>
      </c>
      <c r="D24" s="28"/>
      <c r="E24" s="29" t="s">
        <v>14</v>
      </c>
      <c r="F24" s="30"/>
      <c r="G24" s="31"/>
      <c r="H24" s="32">
        <f t="shared" si="4"/>
        <v>0</v>
      </c>
      <c r="J24" s="47">
        <f t="shared" si="0"/>
        <v>0</v>
      </c>
      <c r="K24" s="48">
        <f>SUMIF(Data!E:E,'มหาชัย(2)'!B24,Data!F:F)*J24</f>
        <v>0</v>
      </c>
      <c r="L24" s="49">
        <f t="shared" si="1"/>
        <v>0</v>
      </c>
      <c r="M24" s="50">
        <f t="shared" si="2"/>
        <v>0</v>
      </c>
      <c r="N24" s="33" t="e">
        <f>INDEX(Data!C:C,MATCH(F20,Data!B:B,0))</f>
        <v>#N/A</v>
      </c>
      <c r="O24" s="51" t="e">
        <f t="shared" si="3"/>
        <v>#N/A</v>
      </c>
    </row>
    <row r="25" spans="1:15" ht="44.45" customHeight="1" x14ac:dyDescent="0.2">
      <c r="A25" s="36">
        <v>18</v>
      </c>
      <c r="B25" s="26" t="s">
        <v>99</v>
      </c>
      <c r="C25" s="27">
        <f>SUMIF(Data!E:E,B25,Data!F:F)</f>
        <v>55</v>
      </c>
      <c r="D25" s="28"/>
      <c r="E25" s="29" t="s">
        <v>14</v>
      </c>
      <c r="F25" s="30"/>
      <c r="G25" s="31"/>
      <c r="H25" s="32">
        <f t="shared" si="4"/>
        <v>0</v>
      </c>
      <c r="J25" s="47">
        <f t="shared" si="0"/>
        <v>0</v>
      </c>
      <c r="K25" s="48">
        <f>SUMIF(Data!E:E,'มหาชัย(2)'!B25,Data!F:F)*J25</f>
        <v>0</v>
      </c>
      <c r="L25" s="49">
        <f t="shared" si="1"/>
        <v>0</v>
      </c>
      <c r="M25" s="50">
        <f t="shared" si="2"/>
        <v>0</v>
      </c>
      <c r="N25" s="33" t="e">
        <f>INDEX(Data!C:C,MATCH(F21,Data!B:B,0))</f>
        <v>#N/A</v>
      </c>
      <c r="O25" s="51" t="e">
        <f t="shared" si="3"/>
        <v>#N/A</v>
      </c>
    </row>
    <row r="26" spans="1:15" ht="44.45" customHeight="1" x14ac:dyDescent="0.2">
      <c r="A26" s="36">
        <v>19</v>
      </c>
      <c r="B26" s="26" t="s">
        <v>100</v>
      </c>
      <c r="C26" s="27">
        <f>SUMIF(Data!E:E,B26,Data!F:F)</f>
        <v>81</v>
      </c>
      <c r="D26" s="28"/>
      <c r="E26" s="29" t="s">
        <v>14</v>
      </c>
      <c r="F26" s="30"/>
      <c r="G26" s="31"/>
      <c r="H26" s="32">
        <f t="shared" si="4"/>
        <v>0</v>
      </c>
      <c r="J26" s="47">
        <f t="shared" si="0"/>
        <v>0</v>
      </c>
      <c r="K26" s="48">
        <f>SUMIF(Data!E:E,'มหาชัย(2)'!B26,Data!F:F)*J26</f>
        <v>0</v>
      </c>
      <c r="L26" s="49">
        <f t="shared" si="1"/>
        <v>0</v>
      </c>
      <c r="M26" s="50">
        <f t="shared" si="2"/>
        <v>0</v>
      </c>
      <c r="N26" s="33" t="e">
        <f>INDEX(Data!C:C,MATCH(F22,Data!B:B,0))</f>
        <v>#N/A</v>
      </c>
      <c r="O26" s="51" t="e">
        <f t="shared" si="3"/>
        <v>#N/A</v>
      </c>
    </row>
    <row r="27" spans="1:15" ht="54.6" customHeight="1" x14ac:dyDescent="0.2">
      <c r="A27" s="60" t="s">
        <v>5</v>
      </c>
      <c r="B27" s="60"/>
      <c r="C27" s="40"/>
      <c r="D27" s="41"/>
      <c r="E27" s="42"/>
      <c r="F27" s="42"/>
      <c r="G27" s="42"/>
      <c r="H27" s="1"/>
      <c r="J27" s="14" t="s">
        <v>39</v>
      </c>
      <c r="K27" s="14" t="s">
        <v>41</v>
      </c>
      <c r="L27" s="14" t="s">
        <v>57</v>
      </c>
    </row>
    <row r="28" spans="1:15" ht="20.100000000000001" customHeight="1" x14ac:dyDescent="0.2">
      <c r="J28" s="13">
        <f>SUM($J$8:$J$26)</f>
        <v>0</v>
      </c>
      <c r="K28" s="13">
        <f>SUM($L$8:$L$26)</f>
        <v>0</v>
      </c>
      <c r="L28" s="13">
        <f>SUM(J28:K28)</f>
        <v>0</v>
      </c>
    </row>
    <row r="29" spans="1:15" ht="20.100000000000001" customHeight="1" x14ac:dyDescent="0.2">
      <c r="L29" s="13"/>
    </row>
    <row r="30" spans="1:15" ht="61.5" customHeight="1" x14ac:dyDescent="0.25">
      <c r="A30" s="8"/>
      <c r="B30" s="9" t="s">
        <v>29</v>
      </c>
      <c r="C30" s="9"/>
      <c r="G30" s="8" t="s">
        <v>31</v>
      </c>
      <c r="K30" s="11"/>
      <c r="L30" s="8"/>
      <c r="N30" s="8"/>
      <c r="O30" s="8"/>
    </row>
    <row r="31" spans="1:15" ht="61.5" customHeight="1" x14ac:dyDescent="0.25">
      <c r="A31" s="8"/>
      <c r="B31" s="8" t="s">
        <v>28</v>
      </c>
      <c r="C31" s="8"/>
      <c r="F31" s="8"/>
      <c r="G31" s="8" t="s">
        <v>32</v>
      </c>
      <c r="H31" s="8"/>
      <c r="K31" s="11"/>
      <c r="L31" s="8"/>
      <c r="N31" s="8"/>
      <c r="O31" s="8"/>
    </row>
    <row r="32" spans="1:15" ht="61.5" customHeight="1" x14ac:dyDescent="0.25">
      <c r="A32" s="8"/>
      <c r="B32" s="8" t="s">
        <v>30</v>
      </c>
      <c r="C32" s="8"/>
      <c r="F32" s="8"/>
      <c r="G32" s="8" t="s">
        <v>33</v>
      </c>
      <c r="H32" s="9"/>
      <c r="J32" s="11"/>
      <c r="L32" s="9"/>
      <c r="N32" s="9"/>
      <c r="O32" s="9"/>
    </row>
    <row r="33" ht="20.100000000000001" customHeight="1" x14ac:dyDescent="0.2"/>
    <row r="34" ht="20.100000000000001" customHeight="1" x14ac:dyDescent="0.2"/>
    <row r="35" ht="20.100000000000001" customHeight="1" x14ac:dyDescent="0.2"/>
    <row r="36" ht="20.100000000000001" customHeight="1" x14ac:dyDescent="0.2"/>
    <row r="37" ht="20.100000000000001" customHeight="1" x14ac:dyDescent="0.2"/>
    <row r="38" ht="20.100000000000001" customHeight="1" x14ac:dyDescent="0.2"/>
    <row r="39" ht="20.100000000000001" customHeight="1" x14ac:dyDescent="0.2"/>
    <row r="40" ht="20.100000000000001" customHeight="1" x14ac:dyDescent="0.2"/>
    <row r="41" ht="20.100000000000001" customHeight="1" x14ac:dyDescent="0.2"/>
  </sheetData>
  <mergeCells count="13">
    <mergeCell ref="A1:F2"/>
    <mergeCell ref="A3:H3"/>
    <mergeCell ref="D4:E4"/>
    <mergeCell ref="F4:H4"/>
    <mergeCell ref="A5:A6"/>
    <mergeCell ref="B5:B6"/>
    <mergeCell ref="D5:E5"/>
    <mergeCell ref="F5:H6"/>
    <mergeCell ref="J5:M5"/>
    <mergeCell ref="D6:E6"/>
    <mergeCell ref="J6:K6"/>
    <mergeCell ref="L6:M6"/>
    <mergeCell ref="A27:B27"/>
  </mergeCells>
  <conditionalFormatting sqref="H8:H26">
    <cfRule type="cellIs" dxfId="143" priority="5" operator="lessThan">
      <formula>-1</formula>
    </cfRule>
    <cfRule type="cellIs" dxfId="142" priority="6" operator="equal">
      <formula>"-"</formula>
    </cfRule>
  </conditionalFormatting>
  <conditionalFormatting sqref="J8:O26">
    <cfRule type="containsErrors" dxfId="141" priority="4">
      <formula>ISERROR(J8)</formula>
    </cfRule>
  </conditionalFormatting>
  <conditionalFormatting sqref="O8:O26">
    <cfRule type="cellIs" dxfId="140" priority="1" operator="lessThan">
      <formula>0</formula>
    </cfRule>
    <cfRule type="cellIs" dxfId="139" priority="2" operator="greaterThan">
      <formula>15</formula>
    </cfRule>
    <cfRule type="cellIs" dxfId="138" priority="3" operator="lessThan">
      <formula>16</formula>
    </cfRule>
  </conditionalFormatting>
  <pageMargins left="0.7" right="0.7" top="0.75" bottom="0.75" header="0.3" footer="0.3"/>
  <pageSetup paperSize="9" scale="38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72FE924-886B-46E1-9DD2-C6D321E7BCBC}">
          <x14:formula1>
            <xm:f>Data!$B$2:$B$22</xm:f>
          </x14:formula1>
          <xm:sqref>F4</xm:sqref>
        </x14:dataValidation>
        <x14:dataValidation type="list" allowBlank="1" showInputMessage="1" showErrorMessage="1" xr:uid="{BD024D08-4304-42F4-A7BF-21102C3578D9}">
          <x14:formula1>
            <xm:f>Data!$G$2:$G$6</xm:f>
          </x14:formula1>
          <xm:sqref>E8:E26</xm:sqref>
        </x14:dataValidation>
        <x14:dataValidation type="list" allowBlank="1" showInputMessage="1" showErrorMessage="1" xr:uid="{7ED6737F-E382-4D61-9314-FCB6D9E6A333}">
          <x14:formula1>
            <xm:f>Data!$E$2:$E$37</xm:f>
          </x14:formula1>
          <xm:sqref>B8:B26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70514-BEE8-46B0-A30D-DC56BB5828B5}">
  <sheetPr>
    <tabColor rgb="FF92D050"/>
    <pageSetUpPr fitToPage="1"/>
  </sheetPr>
  <dimension ref="A1:O41"/>
  <sheetViews>
    <sheetView topLeftCell="A10" zoomScale="55" zoomScaleNormal="55" zoomScaleSheetLayoutView="50" workbookViewId="0">
      <selection activeCell="B26" sqref="B26"/>
    </sheetView>
  </sheetViews>
  <sheetFormatPr defaultRowHeight="14.25" x14ac:dyDescent="0.2"/>
  <cols>
    <col min="2" max="2" width="60.875" customWidth="1"/>
    <col min="3" max="3" width="9.375" customWidth="1"/>
    <col min="4" max="4" width="19.625" customWidth="1"/>
    <col min="5" max="5" width="10.375" customWidth="1"/>
    <col min="6" max="7" width="22.125" customWidth="1"/>
    <col min="8" max="8" width="20.875" customWidth="1"/>
    <col min="9" max="9" width="1.875" customWidth="1"/>
    <col min="10" max="13" width="13.875" customWidth="1"/>
    <col min="14" max="14" width="8.75" customWidth="1"/>
    <col min="15" max="15" width="18.125" customWidth="1"/>
  </cols>
  <sheetData>
    <row r="1" spans="1:15" ht="39.6" customHeight="1" x14ac:dyDescent="0.2">
      <c r="A1" s="61" t="s">
        <v>19</v>
      </c>
      <c r="B1" s="61"/>
      <c r="C1" s="61"/>
      <c r="D1" s="61"/>
      <c r="E1" s="61"/>
      <c r="F1" s="61"/>
      <c r="G1" s="6" t="s">
        <v>17</v>
      </c>
      <c r="H1" s="5" t="s">
        <v>58</v>
      </c>
    </row>
    <row r="2" spans="1:15" ht="40.5" customHeight="1" thickBot="1" x14ac:dyDescent="0.25">
      <c r="A2" s="62"/>
      <c r="B2" s="62"/>
      <c r="C2" s="62"/>
      <c r="D2" s="62"/>
      <c r="E2" s="62"/>
      <c r="F2" s="62"/>
      <c r="G2" s="6" t="s">
        <v>27</v>
      </c>
      <c r="H2" s="15"/>
    </row>
    <row r="3" spans="1:15" ht="48.6" customHeight="1" x14ac:dyDescent="0.2">
      <c r="A3" s="63" t="s">
        <v>1</v>
      </c>
      <c r="B3" s="64"/>
      <c r="C3" s="64"/>
      <c r="D3" s="64"/>
      <c r="E3" s="64"/>
      <c r="F3" s="64"/>
      <c r="G3" s="64"/>
      <c r="H3" s="65"/>
    </row>
    <row r="4" spans="1:15" ht="54.95" customHeight="1" x14ac:dyDescent="0.2">
      <c r="A4" s="33" t="s">
        <v>0</v>
      </c>
      <c r="B4" s="34" t="s">
        <v>21</v>
      </c>
      <c r="C4" s="35"/>
      <c r="D4" s="66" t="s">
        <v>6</v>
      </c>
      <c r="E4" s="66"/>
      <c r="F4" s="57" t="s">
        <v>52</v>
      </c>
      <c r="G4" s="57"/>
      <c r="H4" s="57"/>
    </row>
    <row r="5" spans="1:15" ht="30.95" customHeight="1" x14ac:dyDescent="0.2">
      <c r="A5" s="55" t="s">
        <v>2</v>
      </c>
      <c r="B5" s="67"/>
      <c r="C5" s="37"/>
      <c r="D5" s="55" t="s">
        <v>18</v>
      </c>
      <c r="E5" s="55"/>
      <c r="F5" s="68"/>
      <c r="G5" s="68"/>
      <c r="H5" s="68"/>
      <c r="J5" s="55" t="s">
        <v>38</v>
      </c>
      <c r="K5" s="55"/>
      <c r="L5" s="55"/>
      <c r="M5" s="55"/>
    </row>
    <row r="6" spans="1:15" ht="30.6" customHeight="1" x14ac:dyDescent="0.2">
      <c r="A6" s="55"/>
      <c r="B6" s="67"/>
      <c r="C6" s="37"/>
      <c r="D6" s="56"/>
      <c r="E6" s="57"/>
      <c r="F6" s="68"/>
      <c r="G6" s="68"/>
      <c r="H6" s="68"/>
      <c r="J6" s="58" t="s">
        <v>39</v>
      </c>
      <c r="K6" s="58"/>
      <c r="L6" s="59" t="s">
        <v>41</v>
      </c>
      <c r="M6" s="59"/>
    </row>
    <row r="7" spans="1:15" s="7" customFormat="1" ht="36.6" customHeight="1" x14ac:dyDescent="0.25">
      <c r="A7" s="38" t="s">
        <v>3</v>
      </c>
      <c r="B7" s="38" t="s">
        <v>4</v>
      </c>
      <c r="C7" s="38" t="s">
        <v>42</v>
      </c>
      <c r="D7" s="38" t="s">
        <v>11</v>
      </c>
      <c r="E7" s="38" t="s">
        <v>12</v>
      </c>
      <c r="F7" s="38" t="s">
        <v>9</v>
      </c>
      <c r="G7" s="38" t="s">
        <v>10</v>
      </c>
      <c r="H7" s="39" t="s">
        <v>24</v>
      </c>
      <c r="J7" s="43" t="s">
        <v>40</v>
      </c>
      <c r="K7" s="44" t="s">
        <v>14</v>
      </c>
      <c r="L7" s="45" t="s">
        <v>40</v>
      </c>
      <c r="M7" s="46" t="s">
        <v>14</v>
      </c>
      <c r="N7" s="42" t="s">
        <v>25</v>
      </c>
      <c r="O7" s="42" t="s">
        <v>26</v>
      </c>
    </row>
    <row r="8" spans="1:15" ht="44.45" customHeight="1" x14ac:dyDescent="0.2">
      <c r="A8" s="36">
        <v>1</v>
      </c>
      <c r="B8" s="26" t="s">
        <v>77</v>
      </c>
      <c r="C8" s="27">
        <f>SUMIF(Data!E:E,B8,Data!F:F)</f>
        <v>42</v>
      </c>
      <c r="D8" s="28"/>
      <c r="E8" s="29" t="s">
        <v>14</v>
      </c>
      <c r="F8" s="30"/>
      <c r="G8" s="31"/>
      <c r="H8" s="32">
        <f>+G8-$D$6</f>
        <v>0</v>
      </c>
      <c r="J8" s="47">
        <f t="shared" ref="J8:J26" si="0">ROUNDDOWN((D8/C8),0)</f>
        <v>0</v>
      </c>
      <c r="K8" s="48">
        <f>SUMIF(Data!E:E,'มหาชัย(2)'!B8,Data!F:F)*J8</f>
        <v>0</v>
      </c>
      <c r="L8" s="49">
        <f t="shared" ref="L8:L26" si="1">ROUNDUP((M8/C8),0)</f>
        <v>0</v>
      </c>
      <c r="M8" s="50">
        <f t="shared" ref="M8:M26" si="2">D8-K8</f>
        <v>0</v>
      </c>
      <c r="N8" s="33">
        <f>INDEX(Data!C:C,MATCH(F4,Data!B:B,0))</f>
        <v>60</v>
      </c>
      <c r="O8" s="51">
        <f t="shared" ref="O8:O26" si="3">H8-N8</f>
        <v>-60</v>
      </c>
    </row>
    <row r="9" spans="1:15" ht="44.45" customHeight="1" x14ac:dyDescent="0.2">
      <c r="A9" s="36">
        <v>2</v>
      </c>
      <c r="B9" s="26" t="s">
        <v>66</v>
      </c>
      <c r="C9" s="27">
        <f>SUMIF(Data!E:E,B9,Data!F:F)</f>
        <v>36</v>
      </c>
      <c r="D9" s="28"/>
      <c r="E9" s="29" t="s">
        <v>14</v>
      </c>
      <c r="F9" s="30"/>
      <c r="G9" s="31"/>
      <c r="H9" s="32">
        <f t="shared" ref="H9:H26" si="4">+G9-$D$6</f>
        <v>0</v>
      </c>
      <c r="J9" s="47">
        <f t="shared" si="0"/>
        <v>0</v>
      </c>
      <c r="K9" s="48">
        <f>SUMIF(Data!E:E,'มหาชัย(2)'!B9,Data!F:F)*J9</f>
        <v>0</v>
      </c>
      <c r="L9" s="49">
        <f t="shared" si="1"/>
        <v>0</v>
      </c>
      <c r="M9" s="50">
        <f t="shared" si="2"/>
        <v>0</v>
      </c>
      <c r="N9" s="33" t="e">
        <f>INDEX(Data!C:C,MATCH(F5,Data!B:B,0))</f>
        <v>#N/A</v>
      </c>
      <c r="O9" s="51" t="e">
        <f t="shared" si="3"/>
        <v>#N/A</v>
      </c>
    </row>
    <row r="10" spans="1:15" ht="44.45" customHeight="1" x14ac:dyDescent="0.2">
      <c r="A10" s="36">
        <v>3</v>
      </c>
      <c r="B10" s="26" t="s">
        <v>79</v>
      </c>
      <c r="C10" s="27">
        <f>SUMIF(Data!E:E,B10,Data!F:F)</f>
        <v>42</v>
      </c>
      <c r="D10" s="28"/>
      <c r="E10" s="29" t="s">
        <v>14</v>
      </c>
      <c r="F10" s="30"/>
      <c r="G10" s="31"/>
      <c r="H10" s="32">
        <f t="shared" si="4"/>
        <v>0</v>
      </c>
      <c r="J10" s="47">
        <f t="shared" si="0"/>
        <v>0</v>
      </c>
      <c r="K10" s="48">
        <f>SUMIF(Data!E:E,'มหาชัย(2)'!B10,Data!F:F)*J10</f>
        <v>0</v>
      </c>
      <c r="L10" s="49">
        <f t="shared" si="1"/>
        <v>0</v>
      </c>
      <c r="M10" s="50">
        <f t="shared" si="2"/>
        <v>0</v>
      </c>
      <c r="N10" s="33" t="e">
        <f>INDEX(Data!C:C,MATCH(F6,Data!B:B,0))</f>
        <v>#N/A</v>
      </c>
      <c r="O10" s="51" t="e">
        <f t="shared" si="3"/>
        <v>#N/A</v>
      </c>
    </row>
    <row r="11" spans="1:15" ht="44.45" customHeight="1" x14ac:dyDescent="0.2">
      <c r="A11" s="36">
        <v>4</v>
      </c>
      <c r="B11" s="26" t="s">
        <v>80</v>
      </c>
      <c r="C11" s="27">
        <f>SUMIF(Data!E:E,B11,Data!F:F)</f>
        <v>50</v>
      </c>
      <c r="D11" s="28"/>
      <c r="E11" s="29" t="s">
        <v>14</v>
      </c>
      <c r="F11" s="30"/>
      <c r="G11" s="31"/>
      <c r="H11" s="32">
        <f t="shared" si="4"/>
        <v>0</v>
      </c>
      <c r="J11" s="47">
        <f t="shared" si="0"/>
        <v>0</v>
      </c>
      <c r="K11" s="48">
        <f>SUMIF(Data!E:E,'มหาชัย(2)'!B11,Data!F:F)*J11</f>
        <v>0</v>
      </c>
      <c r="L11" s="49">
        <f t="shared" si="1"/>
        <v>0</v>
      </c>
      <c r="M11" s="50">
        <f t="shared" si="2"/>
        <v>0</v>
      </c>
      <c r="N11" s="33" t="e">
        <f>INDEX(Data!C:C,MATCH(F7,Data!B:B,0))</f>
        <v>#N/A</v>
      </c>
      <c r="O11" s="51" t="e">
        <f t="shared" si="3"/>
        <v>#N/A</v>
      </c>
    </row>
    <row r="12" spans="1:15" ht="44.45" customHeight="1" x14ac:dyDescent="0.2">
      <c r="A12" s="36">
        <v>5</v>
      </c>
      <c r="B12" s="26" t="s">
        <v>71</v>
      </c>
      <c r="C12" s="27">
        <f>SUMIF(Data!E:E,B12,Data!F:F)</f>
        <v>81</v>
      </c>
      <c r="D12" s="28"/>
      <c r="E12" s="29" t="s">
        <v>14</v>
      </c>
      <c r="F12" s="30"/>
      <c r="G12" s="31"/>
      <c r="H12" s="32">
        <f t="shared" si="4"/>
        <v>0</v>
      </c>
      <c r="J12" s="47">
        <f t="shared" si="0"/>
        <v>0</v>
      </c>
      <c r="K12" s="48">
        <f>SUMIF(Data!E:E,'มหาชัย(2)'!B12,Data!F:F)*J12</f>
        <v>0</v>
      </c>
      <c r="L12" s="49">
        <f t="shared" si="1"/>
        <v>0</v>
      </c>
      <c r="M12" s="50">
        <f t="shared" si="2"/>
        <v>0</v>
      </c>
      <c r="N12" s="33" t="e">
        <f>INDEX(Data!C:C,MATCH(F8,Data!B:B,0))</f>
        <v>#N/A</v>
      </c>
      <c r="O12" s="51" t="e">
        <f t="shared" si="3"/>
        <v>#N/A</v>
      </c>
    </row>
    <row r="13" spans="1:15" ht="44.45" customHeight="1" x14ac:dyDescent="0.2">
      <c r="A13" s="36">
        <v>6</v>
      </c>
      <c r="B13" s="26" t="s">
        <v>84</v>
      </c>
      <c r="C13" s="27">
        <f>SUMIF(Data!E:E,B13,Data!F:F)</f>
        <v>42</v>
      </c>
      <c r="D13" s="28"/>
      <c r="E13" s="29" t="s">
        <v>14</v>
      </c>
      <c r="F13" s="30"/>
      <c r="G13" s="31"/>
      <c r="H13" s="32">
        <f t="shared" si="4"/>
        <v>0</v>
      </c>
      <c r="J13" s="47">
        <f t="shared" si="0"/>
        <v>0</v>
      </c>
      <c r="K13" s="48">
        <f>SUMIF(Data!E:E,'มหาชัย(2)'!B13,Data!F:F)*J13</f>
        <v>0</v>
      </c>
      <c r="L13" s="49">
        <f t="shared" si="1"/>
        <v>0</v>
      </c>
      <c r="M13" s="50">
        <f t="shared" si="2"/>
        <v>0</v>
      </c>
      <c r="N13" s="33" t="e">
        <f>INDEX(Data!C:C,MATCH(F9,Data!B:B,0))</f>
        <v>#N/A</v>
      </c>
      <c r="O13" s="51" t="e">
        <f t="shared" si="3"/>
        <v>#N/A</v>
      </c>
    </row>
    <row r="14" spans="1:15" ht="44.45" customHeight="1" x14ac:dyDescent="0.2">
      <c r="A14" s="36">
        <v>7</v>
      </c>
      <c r="B14" s="26" t="s">
        <v>85</v>
      </c>
      <c r="C14" s="27">
        <f>SUMIF(Data!E:E,B14,Data!F:F)</f>
        <v>32</v>
      </c>
      <c r="D14" s="28"/>
      <c r="E14" s="29" t="s">
        <v>14</v>
      </c>
      <c r="F14" s="30"/>
      <c r="G14" s="31"/>
      <c r="H14" s="32">
        <f t="shared" si="4"/>
        <v>0</v>
      </c>
      <c r="J14" s="47">
        <f t="shared" si="0"/>
        <v>0</v>
      </c>
      <c r="K14" s="48">
        <f>SUMIF(Data!E:E,'มหาชัย(2)'!B14,Data!F:F)*J14</f>
        <v>0</v>
      </c>
      <c r="L14" s="49">
        <f t="shared" si="1"/>
        <v>0</v>
      </c>
      <c r="M14" s="50">
        <f t="shared" si="2"/>
        <v>0</v>
      </c>
      <c r="N14" s="33" t="e">
        <f>INDEX(Data!C:C,MATCH(F10,Data!B:B,0))</f>
        <v>#N/A</v>
      </c>
      <c r="O14" s="51" t="e">
        <f t="shared" si="3"/>
        <v>#N/A</v>
      </c>
    </row>
    <row r="15" spans="1:15" ht="44.45" customHeight="1" x14ac:dyDescent="0.2">
      <c r="A15" s="36">
        <v>8</v>
      </c>
      <c r="B15" s="26" t="s">
        <v>76</v>
      </c>
      <c r="C15" s="27">
        <f>SUMIF(Data!E:E,B15,Data!F:F)</f>
        <v>70</v>
      </c>
      <c r="D15" s="28"/>
      <c r="E15" s="29" t="s">
        <v>14</v>
      </c>
      <c r="F15" s="30"/>
      <c r="G15" s="31"/>
      <c r="H15" s="32">
        <f t="shared" si="4"/>
        <v>0</v>
      </c>
      <c r="J15" s="47">
        <f t="shared" si="0"/>
        <v>0</v>
      </c>
      <c r="K15" s="48">
        <f>SUMIF(Data!E:E,'มหาชัย(2)'!B15,Data!F:F)*J15</f>
        <v>0</v>
      </c>
      <c r="L15" s="49">
        <f t="shared" si="1"/>
        <v>0</v>
      </c>
      <c r="M15" s="50">
        <f t="shared" si="2"/>
        <v>0</v>
      </c>
      <c r="N15" s="33" t="e">
        <f>INDEX(Data!C:C,MATCH(F11,Data!B:B,0))</f>
        <v>#N/A</v>
      </c>
      <c r="O15" s="51" t="e">
        <f t="shared" si="3"/>
        <v>#N/A</v>
      </c>
    </row>
    <row r="16" spans="1:15" ht="44.45" customHeight="1" x14ac:dyDescent="0.2">
      <c r="A16" s="36">
        <v>9</v>
      </c>
      <c r="B16" s="26" t="s">
        <v>89</v>
      </c>
      <c r="C16" s="27">
        <f>SUMIF(Data!E:E,B16,Data!F:F)</f>
        <v>45</v>
      </c>
      <c r="D16" s="28"/>
      <c r="E16" s="29" t="s">
        <v>14</v>
      </c>
      <c r="F16" s="30"/>
      <c r="G16" s="31"/>
      <c r="H16" s="32">
        <f t="shared" si="4"/>
        <v>0</v>
      </c>
      <c r="J16" s="47">
        <f t="shared" si="0"/>
        <v>0</v>
      </c>
      <c r="K16" s="48">
        <f>SUMIF(Data!E:E,'มหาชัย(2)'!B16,Data!F:F)*J16</f>
        <v>0</v>
      </c>
      <c r="L16" s="49">
        <f t="shared" si="1"/>
        <v>0</v>
      </c>
      <c r="M16" s="50">
        <f t="shared" si="2"/>
        <v>0</v>
      </c>
      <c r="N16" s="33" t="e">
        <f>INDEX(Data!C:C,MATCH(F12,Data!B:B,0))</f>
        <v>#N/A</v>
      </c>
      <c r="O16" s="51" t="e">
        <f t="shared" si="3"/>
        <v>#N/A</v>
      </c>
    </row>
    <row r="17" spans="1:15" ht="44.45" customHeight="1" x14ac:dyDescent="0.2">
      <c r="A17" s="36">
        <v>10</v>
      </c>
      <c r="B17" s="26" t="s">
        <v>88</v>
      </c>
      <c r="C17" s="27">
        <f>SUMIF(Data!E:E,B17,Data!F:F)</f>
        <v>48</v>
      </c>
      <c r="D17" s="28"/>
      <c r="E17" s="29" t="s">
        <v>14</v>
      </c>
      <c r="F17" s="30"/>
      <c r="G17" s="31"/>
      <c r="H17" s="32">
        <f t="shared" si="4"/>
        <v>0</v>
      </c>
      <c r="J17" s="47">
        <f t="shared" si="0"/>
        <v>0</v>
      </c>
      <c r="K17" s="48">
        <f>SUMIF(Data!E:E,'มหาชัย(2)'!B17,Data!F:F)*J17</f>
        <v>0</v>
      </c>
      <c r="L17" s="49">
        <f t="shared" si="1"/>
        <v>0</v>
      </c>
      <c r="M17" s="50">
        <f t="shared" si="2"/>
        <v>0</v>
      </c>
      <c r="N17" s="33" t="e">
        <f>INDEX(Data!C:C,MATCH(F13,Data!B:B,0))</f>
        <v>#N/A</v>
      </c>
      <c r="O17" s="51" t="e">
        <f t="shared" si="3"/>
        <v>#N/A</v>
      </c>
    </row>
    <row r="18" spans="1:15" ht="44.45" customHeight="1" x14ac:dyDescent="0.2">
      <c r="A18" s="36">
        <v>11</v>
      </c>
      <c r="B18" s="26" t="s">
        <v>87</v>
      </c>
      <c r="C18" s="27">
        <f>SUMIF(Data!E:E,B18,Data!F:F)</f>
        <v>48</v>
      </c>
      <c r="D18" s="28"/>
      <c r="E18" s="29" t="s">
        <v>14</v>
      </c>
      <c r="F18" s="30"/>
      <c r="G18" s="31"/>
      <c r="H18" s="32">
        <f t="shared" si="4"/>
        <v>0</v>
      </c>
      <c r="J18" s="47">
        <f t="shared" si="0"/>
        <v>0</v>
      </c>
      <c r="K18" s="48">
        <f>SUMIF(Data!E:E,'มหาชัย(2)'!B18,Data!F:F)*J18</f>
        <v>0</v>
      </c>
      <c r="L18" s="49">
        <f t="shared" si="1"/>
        <v>0</v>
      </c>
      <c r="M18" s="50">
        <f t="shared" si="2"/>
        <v>0</v>
      </c>
      <c r="N18" s="33" t="e">
        <f>INDEX(Data!C:C,MATCH(F14,Data!B:B,0))</f>
        <v>#N/A</v>
      </c>
      <c r="O18" s="51" t="e">
        <f t="shared" si="3"/>
        <v>#N/A</v>
      </c>
    </row>
    <row r="19" spans="1:15" ht="44.45" customHeight="1" x14ac:dyDescent="0.2">
      <c r="A19" s="36">
        <v>12</v>
      </c>
      <c r="B19" s="26" t="s">
        <v>90</v>
      </c>
      <c r="C19" s="27">
        <f>SUMIF(Data!E:E,B19,Data!F:F)</f>
        <v>60</v>
      </c>
      <c r="D19" s="28"/>
      <c r="E19" s="29" t="s">
        <v>14</v>
      </c>
      <c r="F19" s="30"/>
      <c r="G19" s="31"/>
      <c r="H19" s="32">
        <f t="shared" si="4"/>
        <v>0</v>
      </c>
      <c r="J19" s="47">
        <f t="shared" si="0"/>
        <v>0</v>
      </c>
      <c r="K19" s="48">
        <f>SUMIF(Data!E:E,'มหาชัย(2)'!B19,Data!F:F)*J19</f>
        <v>0</v>
      </c>
      <c r="L19" s="49">
        <f t="shared" si="1"/>
        <v>0</v>
      </c>
      <c r="M19" s="50">
        <f t="shared" si="2"/>
        <v>0</v>
      </c>
      <c r="N19" s="33" t="e">
        <f>INDEX(Data!C:C,MATCH(F15,Data!B:B,0))</f>
        <v>#N/A</v>
      </c>
      <c r="O19" s="51" t="e">
        <f t="shared" si="3"/>
        <v>#N/A</v>
      </c>
    </row>
    <row r="20" spans="1:15" ht="44.45" customHeight="1" x14ac:dyDescent="0.2">
      <c r="A20" s="36">
        <v>13</v>
      </c>
      <c r="B20" s="26" t="s">
        <v>91</v>
      </c>
      <c r="C20" s="27">
        <f>SUMIF(Data!E:E,B20,Data!F:F)</f>
        <v>50</v>
      </c>
      <c r="D20" s="28"/>
      <c r="E20" s="29" t="s">
        <v>14</v>
      </c>
      <c r="F20" s="30"/>
      <c r="G20" s="31"/>
      <c r="H20" s="32">
        <f t="shared" si="4"/>
        <v>0</v>
      </c>
      <c r="J20" s="47">
        <f t="shared" si="0"/>
        <v>0</v>
      </c>
      <c r="K20" s="48">
        <f>SUMIF(Data!E:E,'มหาชัย(2)'!B20,Data!F:F)*J20</f>
        <v>0</v>
      </c>
      <c r="L20" s="49">
        <f t="shared" si="1"/>
        <v>0</v>
      </c>
      <c r="M20" s="50">
        <f t="shared" si="2"/>
        <v>0</v>
      </c>
      <c r="N20" s="33" t="e">
        <f>INDEX(Data!C:C,MATCH(F16,Data!B:B,0))</f>
        <v>#N/A</v>
      </c>
      <c r="O20" s="51" t="e">
        <f t="shared" si="3"/>
        <v>#N/A</v>
      </c>
    </row>
    <row r="21" spans="1:15" ht="44.45" customHeight="1" x14ac:dyDescent="0.2">
      <c r="A21" s="36">
        <v>14</v>
      </c>
      <c r="B21" s="26" t="s">
        <v>93</v>
      </c>
      <c r="C21" s="27">
        <f>SUMIF(Data!E:E,B21,Data!F:F)</f>
        <v>60</v>
      </c>
      <c r="D21" s="28"/>
      <c r="E21" s="29" t="s">
        <v>14</v>
      </c>
      <c r="F21" s="30"/>
      <c r="G21" s="31"/>
      <c r="H21" s="32">
        <f t="shared" si="4"/>
        <v>0</v>
      </c>
      <c r="J21" s="47">
        <f t="shared" si="0"/>
        <v>0</v>
      </c>
      <c r="K21" s="48">
        <f>SUMIF(Data!E:E,'มหาชัย(2)'!B21,Data!F:F)*J21</f>
        <v>0</v>
      </c>
      <c r="L21" s="49">
        <f t="shared" si="1"/>
        <v>0</v>
      </c>
      <c r="M21" s="50">
        <f t="shared" si="2"/>
        <v>0</v>
      </c>
      <c r="N21" s="33" t="e">
        <f>INDEX(Data!C:C,MATCH(F17,Data!B:B,0))</f>
        <v>#N/A</v>
      </c>
      <c r="O21" s="51" t="e">
        <f t="shared" si="3"/>
        <v>#N/A</v>
      </c>
    </row>
    <row r="22" spans="1:15" ht="44.45" customHeight="1" x14ac:dyDescent="0.2">
      <c r="A22" s="36">
        <v>15</v>
      </c>
      <c r="B22" s="26" t="s">
        <v>94</v>
      </c>
      <c r="C22" s="27">
        <f>SUMIF(Data!E:E,B22,Data!F:F)</f>
        <v>55</v>
      </c>
      <c r="D22" s="28"/>
      <c r="E22" s="29" t="s">
        <v>14</v>
      </c>
      <c r="F22" s="30"/>
      <c r="G22" s="31"/>
      <c r="H22" s="32">
        <f t="shared" si="4"/>
        <v>0</v>
      </c>
      <c r="J22" s="47">
        <f t="shared" si="0"/>
        <v>0</v>
      </c>
      <c r="K22" s="48">
        <f>SUMIF(Data!E:E,'มหาชัย(2)'!B22,Data!F:F)*J22</f>
        <v>0</v>
      </c>
      <c r="L22" s="49">
        <f t="shared" si="1"/>
        <v>0</v>
      </c>
      <c r="M22" s="50">
        <f t="shared" si="2"/>
        <v>0</v>
      </c>
      <c r="N22" s="33" t="e">
        <f>INDEX(Data!C:C,MATCH(F18,Data!B:B,0))</f>
        <v>#N/A</v>
      </c>
      <c r="O22" s="51" t="e">
        <f t="shared" si="3"/>
        <v>#N/A</v>
      </c>
    </row>
    <row r="23" spans="1:15" ht="44.45" customHeight="1" x14ac:dyDescent="0.2">
      <c r="A23" s="36">
        <v>16</v>
      </c>
      <c r="B23" s="26" t="s">
        <v>95</v>
      </c>
      <c r="C23" s="27">
        <f>SUMIF(Data!E:E,B23,Data!F:F)</f>
        <v>50</v>
      </c>
      <c r="D23" s="28"/>
      <c r="E23" s="29" t="s">
        <v>14</v>
      </c>
      <c r="F23" s="30"/>
      <c r="G23" s="31"/>
      <c r="H23" s="32">
        <f t="shared" si="4"/>
        <v>0</v>
      </c>
      <c r="J23" s="47">
        <f t="shared" si="0"/>
        <v>0</v>
      </c>
      <c r="K23" s="48">
        <f>SUMIF(Data!E:E,'มหาชัย(2)'!B23,Data!F:F)*J23</f>
        <v>0</v>
      </c>
      <c r="L23" s="49">
        <f t="shared" si="1"/>
        <v>0</v>
      </c>
      <c r="M23" s="50">
        <f t="shared" si="2"/>
        <v>0</v>
      </c>
      <c r="N23" s="33" t="e">
        <f>INDEX(Data!C:C,MATCH(F19,Data!B:B,0))</f>
        <v>#N/A</v>
      </c>
      <c r="O23" s="51" t="e">
        <f t="shared" si="3"/>
        <v>#N/A</v>
      </c>
    </row>
    <row r="24" spans="1:15" ht="44.45" customHeight="1" x14ac:dyDescent="0.2">
      <c r="A24" s="36">
        <v>17</v>
      </c>
      <c r="B24" s="26" t="s">
        <v>98</v>
      </c>
      <c r="C24" s="27">
        <f>SUMIF(Data!E:E,B24,Data!F:F)</f>
        <v>55</v>
      </c>
      <c r="D24" s="28"/>
      <c r="E24" s="29" t="s">
        <v>14</v>
      </c>
      <c r="F24" s="30"/>
      <c r="G24" s="31"/>
      <c r="H24" s="32">
        <f t="shared" si="4"/>
        <v>0</v>
      </c>
      <c r="J24" s="47">
        <f t="shared" si="0"/>
        <v>0</v>
      </c>
      <c r="K24" s="48">
        <f>SUMIF(Data!E:E,'มหาชัย(2)'!B24,Data!F:F)*J24</f>
        <v>0</v>
      </c>
      <c r="L24" s="49">
        <f t="shared" si="1"/>
        <v>0</v>
      </c>
      <c r="M24" s="50">
        <f t="shared" si="2"/>
        <v>0</v>
      </c>
      <c r="N24" s="33" t="e">
        <f>INDEX(Data!C:C,MATCH(F20,Data!B:B,0))</f>
        <v>#N/A</v>
      </c>
      <c r="O24" s="51" t="e">
        <f t="shared" si="3"/>
        <v>#N/A</v>
      </c>
    </row>
    <row r="25" spans="1:15" ht="44.45" customHeight="1" x14ac:dyDescent="0.2">
      <c r="A25" s="36">
        <v>18</v>
      </c>
      <c r="B25" s="26" t="s">
        <v>99</v>
      </c>
      <c r="C25" s="27">
        <f>SUMIF(Data!E:E,B25,Data!F:F)</f>
        <v>55</v>
      </c>
      <c r="D25" s="28"/>
      <c r="E25" s="29" t="s">
        <v>14</v>
      </c>
      <c r="F25" s="30"/>
      <c r="G25" s="31"/>
      <c r="H25" s="32">
        <f t="shared" si="4"/>
        <v>0</v>
      </c>
      <c r="J25" s="47">
        <f t="shared" si="0"/>
        <v>0</v>
      </c>
      <c r="K25" s="48">
        <f>SUMIF(Data!E:E,'มหาชัย(2)'!B25,Data!F:F)*J25</f>
        <v>0</v>
      </c>
      <c r="L25" s="49">
        <f t="shared" si="1"/>
        <v>0</v>
      </c>
      <c r="M25" s="50">
        <f t="shared" si="2"/>
        <v>0</v>
      </c>
      <c r="N25" s="33" t="e">
        <f>INDEX(Data!C:C,MATCH(F21,Data!B:B,0))</f>
        <v>#N/A</v>
      </c>
      <c r="O25" s="51" t="e">
        <f t="shared" si="3"/>
        <v>#N/A</v>
      </c>
    </row>
    <row r="26" spans="1:15" ht="44.45" customHeight="1" x14ac:dyDescent="0.2">
      <c r="A26" s="36">
        <v>19</v>
      </c>
      <c r="B26" s="26" t="s">
        <v>100</v>
      </c>
      <c r="C26" s="27">
        <f>SUMIF(Data!E:E,B26,Data!F:F)</f>
        <v>81</v>
      </c>
      <c r="D26" s="28"/>
      <c r="E26" s="29" t="s">
        <v>14</v>
      </c>
      <c r="F26" s="30"/>
      <c r="G26" s="31"/>
      <c r="H26" s="32">
        <f t="shared" si="4"/>
        <v>0</v>
      </c>
      <c r="J26" s="47">
        <f t="shared" si="0"/>
        <v>0</v>
      </c>
      <c r="K26" s="48">
        <f>SUMIF(Data!E:E,'มหาชัย(2)'!B26,Data!F:F)*J26</f>
        <v>0</v>
      </c>
      <c r="L26" s="49">
        <f t="shared" si="1"/>
        <v>0</v>
      </c>
      <c r="M26" s="50">
        <f t="shared" si="2"/>
        <v>0</v>
      </c>
      <c r="N26" s="33" t="e">
        <f>INDEX(Data!C:C,MATCH(F22,Data!B:B,0))</f>
        <v>#N/A</v>
      </c>
      <c r="O26" s="51" t="e">
        <f t="shared" si="3"/>
        <v>#N/A</v>
      </c>
    </row>
    <row r="27" spans="1:15" ht="54.6" customHeight="1" x14ac:dyDescent="0.2">
      <c r="A27" s="60" t="s">
        <v>5</v>
      </c>
      <c r="B27" s="60"/>
      <c r="C27" s="40"/>
      <c r="D27" s="41"/>
      <c r="E27" s="42"/>
      <c r="F27" s="42"/>
      <c r="G27" s="42"/>
      <c r="H27" s="1"/>
      <c r="J27" s="14" t="s">
        <v>39</v>
      </c>
      <c r="K27" s="14" t="s">
        <v>41</v>
      </c>
      <c r="L27" s="14" t="s">
        <v>57</v>
      </c>
    </row>
    <row r="28" spans="1:15" ht="20.100000000000001" customHeight="1" x14ac:dyDescent="0.2">
      <c r="J28" s="13">
        <f>SUM($J$8:$J$26)</f>
        <v>0</v>
      </c>
      <c r="K28" s="13">
        <f>SUM($L$8:$L$26)</f>
        <v>0</v>
      </c>
      <c r="L28" s="13">
        <f>SUM(J28:K28)</f>
        <v>0</v>
      </c>
    </row>
    <row r="29" spans="1:15" ht="20.100000000000001" customHeight="1" x14ac:dyDescent="0.2">
      <c r="L29" s="13"/>
    </row>
    <row r="30" spans="1:15" ht="61.5" customHeight="1" x14ac:dyDescent="0.25">
      <c r="A30" s="8"/>
      <c r="B30" s="9" t="s">
        <v>29</v>
      </c>
      <c r="C30" s="9"/>
      <c r="G30" s="8" t="s">
        <v>31</v>
      </c>
      <c r="K30" s="11"/>
      <c r="L30" s="8"/>
      <c r="N30" s="8"/>
      <c r="O30" s="8"/>
    </row>
    <row r="31" spans="1:15" ht="61.5" customHeight="1" x14ac:dyDescent="0.25">
      <c r="A31" s="8"/>
      <c r="B31" s="8" t="s">
        <v>28</v>
      </c>
      <c r="C31" s="8"/>
      <c r="F31" s="8"/>
      <c r="G31" s="8" t="s">
        <v>32</v>
      </c>
      <c r="H31" s="8"/>
      <c r="K31" s="11"/>
      <c r="L31" s="8"/>
      <c r="N31" s="8"/>
      <c r="O31" s="8"/>
    </row>
    <row r="32" spans="1:15" ht="61.5" customHeight="1" x14ac:dyDescent="0.25">
      <c r="A32" s="8"/>
      <c r="B32" s="8" t="s">
        <v>30</v>
      </c>
      <c r="C32" s="8"/>
      <c r="F32" s="8"/>
      <c r="G32" s="8" t="s">
        <v>33</v>
      </c>
      <c r="H32" s="9"/>
      <c r="J32" s="11"/>
      <c r="L32" s="9"/>
      <c r="N32" s="9"/>
      <c r="O32" s="9"/>
    </row>
    <row r="33" ht="20.100000000000001" customHeight="1" x14ac:dyDescent="0.2"/>
    <row r="34" ht="20.100000000000001" customHeight="1" x14ac:dyDescent="0.2"/>
    <row r="35" ht="20.100000000000001" customHeight="1" x14ac:dyDescent="0.2"/>
    <row r="36" ht="20.100000000000001" customHeight="1" x14ac:dyDescent="0.2"/>
    <row r="37" ht="20.100000000000001" customHeight="1" x14ac:dyDescent="0.2"/>
    <row r="38" ht="20.100000000000001" customHeight="1" x14ac:dyDescent="0.2"/>
    <row r="39" ht="20.100000000000001" customHeight="1" x14ac:dyDescent="0.2"/>
    <row r="40" ht="20.100000000000001" customHeight="1" x14ac:dyDescent="0.2"/>
    <row r="41" ht="20.100000000000001" customHeight="1" x14ac:dyDescent="0.2"/>
  </sheetData>
  <mergeCells count="13">
    <mergeCell ref="A1:F2"/>
    <mergeCell ref="A3:H3"/>
    <mergeCell ref="D4:E4"/>
    <mergeCell ref="F4:H4"/>
    <mergeCell ref="A5:A6"/>
    <mergeCell ref="B5:B6"/>
    <mergeCell ref="D5:E5"/>
    <mergeCell ref="F5:H6"/>
    <mergeCell ref="J5:M5"/>
    <mergeCell ref="D6:E6"/>
    <mergeCell ref="J6:K6"/>
    <mergeCell ref="L6:M6"/>
    <mergeCell ref="A27:B27"/>
  </mergeCells>
  <conditionalFormatting sqref="H8:H26">
    <cfRule type="cellIs" dxfId="137" priority="5" operator="lessThan">
      <formula>-1</formula>
    </cfRule>
    <cfRule type="cellIs" dxfId="136" priority="6" operator="equal">
      <formula>"-"</formula>
    </cfRule>
  </conditionalFormatting>
  <conditionalFormatting sqref="J8:O26">
    <cfRule type="containsErrors" dxfId="135" priority="4">
      <formula>ISERROR(J8)</formula>
    </cfRule>
  </conditionalFormatting>
  <conditionalFormatting sqref="O8:O26">
    <cfRule type="cellIs" dxfId="134" priority="1" operator="lessThan">
      <formula>0</formula>
    </cfRule>
    <cfRule type="cellIs" dxfId="133" priority="2" operator="greaterThan">
      <formula>15</formula>
    </cfRule>
    <cfRule type="cellIs" dxfId="132" priority="3" operator="lessThan">
      <formula>16</formula>
    </cfRule>
  </conditionalFormatting>
  <pageMargins left="0.7" right="0.7" top="0.75" bottom="0.75" header="0.3" footer="0.3"/>
  <pageSetup paperSize="9" scale="38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64A4A40-ABE5-4FA7-8B44-342FD016540E}">
          <x14:formula1>
            <xm:f>Data!$B$2:$B$22</xm:f>
          </x14:formula1>
          <xm:sqref>F4</xm:sqref>
        </x14:dataValidation>
        <x14:dataValidation type="list" allowBlank="1" showInputMessage="1" showErrorMessage="1" xr:uid="{8AB40E5C-5532-468F-BE45-5CB2888179DE}">
          <x14:formula1>
            <xm:f>Data!$G$2:$G$6</xm:f>
          </x14:formula1>
          <xm:sqref>E8:E26</xm:sqref>
        </x14:dataValidation>
        <x14:dataValidation type="list" allowBlank="1" showInputMessage="1" showErrorMessage="1" xr:uid="{CBE2B14B-FC04-4B8A-9224-9B566788FC70}">
          <x14:formula1>
            <xm:f>Data!$E$2:$E$37</xm:f>
          </x14:formula1>
          <xm:sqref>B8:B26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DD557-CB31-41CC-87EC-2841BE158FF4}">
  <sheetPr>
    <tabColor rgb="FF92D050"/>
    <pageSetUpPr fitToPage="1"/>
  </sheetPr>
  <dimension ref="A1:O41"/>
  <sheetViews>
    <sheetView topLeftCell="A5" zoomScale="55" zoomScaleNormal="55" zoomScaleSheetLayoutView="50" workbookViewId="0">
      <selection activeCell="B26" sqref="B26"/>
    </sheetView>
  </sheetViews>
  <sheetFormatPr defaultRowHeight="14.25" x14ac:dyDescent="0.2"/>
  <cols>
    <col min="2" max="2" width="60.875" customWidth="1"/>
    <col min="3" max="3" width="9.375" customWidth="1"/>
    <col min="4" max="4" width="19.625" customWidth="1"/>
    <col min="5" max="5" width="10.375" customWidth="1"/>
    <col min="6" max="7" width="22.125" customWidth="1"/>
    <col min="8" max="8" width="20.875" customWidth="1"/>
    <col min="9" max="9" width="1.875" customWidth="1"/>
    <col min="10" max="13" width="13.875" customWidth="1"/>
    <col min="14" max="14" width="8.75" customWidth="1"/>
    <col min="15" max="15" width="18.125" customWidth="1"/>
  </cols>
  <sheetData>
    <row r="1" spans="1:15" ht="39.6" customHeight="1" x14ac:dyDescent="0.2">
      <c r="A1" s="61" t="s">
        <v>19</v>
      </c>
      <c r="B1" s="61"/>
      <c r="C1" s="61"/>
      <c r="D1" s="61"/>
      <c r="E1" s="61"/>
      <c r="F1" s="61"/>
      <c r="G1" s="6" t="s">
        <v>17</v>
      </c>
      <c r="H1" s="5" t="s">
        <v>58</v>
      </c>
    </row>
    <row r="2" spans="1:15" ht="40.5" customHeight="1" thickBot="1" x14ac:dyDescent="0.25">
      <c r="A2" s="62"/>
      <c r="B2" s="62"/>
      <c r="C2" s="62"/>
      <c r="D2" s="62"/>
      <c r="E2" s="62"/>
      <c r="F2" s="62"/>
      <c r="G2" s="6" t="s">
        <v>27</v>
      </c>
      <c r="H2" s="15"/>
    </row>
    <row r="3" spans="1:15" ht="48.6" customHeight="1" x14ac:dyDescent="0.2">
      <c r="A3" s="63" t="s">
        <v>1</v>
      </c>
      <c r="B3" s="64"/>
      <c r="C3" s="64"/>
      <c r="D3" s="64"/>
      <c r="E3" s="64"/>
      <c r="F3" s="64"/>
      <c r="G3" s="64"/>
      <c r="H3" s="65"/>
    </row>
    <row r="4" spans="1:15" ht="54.95" customHeight="1" x14ac:dyDescent="0.2">
      <c r="A4" s="33" t="s">
        <v>0</v>
      </c>
      <c r="B4" s="34" t="s">
        <v>21</v>
      </c>
      <c r="C4" s="35"/>
      <c r="D4" s="66" t="s">
        <v>6</v>
      </c>
      <c r="E4" s="66"/>
      <c r="F4" s="57" t="s">
        <v>52</v>
      </c>
      <c r="G4" s="57"/>
      <c r="H4" s="57"/>
    </row>
    <row r="5" spans="1:15" ht="30.95" customHeight="1" x14ac:dyDescent="0.2">
      <c r="A5" s="55" t="s">
        <v>2</v>
      </c>
      <c r="B5" s="67"/>
      <c r="C5" s="37"/>
      <c r="D5" s="55" t="s">
        <v>18</v>
      </c>
      <c r="E5" s="55"/>
      <c r="F5" s="68"/>
      <c r="G5" s="68"/>
      <c r="H5" s="68"/>
      <c r="J5" s="55" t="s">
        <v>38</v>
      </c>
      <c r="K5" s="55"/>
      <c r="L5" s="55"/>
      <c r="M5" s="55"/>
    </row>
    <row r="6" spans="1:15" ht="30.6" customHeight="1" x14ac:dyDescent="0.2">
      <c r="A6" s="55"/>
      <c r="B6" s="67"/>
      <c r="C6" s="37"/>
      <c r="D6" s="56"/>
      <c r="E6" s="57"/>
      <c r="F6" s="68"/>
      <c r="G6" s="68"/>
      <c r="H6" s="68"/>
      <c r="J6" s="58" t="s">
        <v>39</v>
      </c>
      <c r="K6" s="58"/>
      <c r="L6" s="59" t="s">
        <v>41</v>
      </c>
      <c r="M6" s="59"/>
    </row>
    <row r="7" spans="1:15" s="7" customFormat="1" ht="36.6" customHeight="1" x14ac:dyDescent="0.25">
      <c r="A7" s="38" t="s">
        <v>3</v>
      </c>
      <c r="B7" s="38" t="s">
        <v>4</v>
      </c>
      <c r="C7" s="38" t="s">
        <v>42</v>
      </c>
      <c r="D7" s="38" t="s">
        <v>11</v>
      </c>
      <c r="E7" s="38" t="s">
        <v>12</v>
      </c>
      <c r="F7" s="38" t="s">
        <v>9</v>
      </c>
      <c r="G7" s="38" t="s">
        <v>10</v>
      </c>
      <c r="H7" s="39" t="s">
        <v>24</v>
      </c>
      <c r="J7" s="43" t="s">
        <v>40</v>
      </c>
      <c r="K7" s="44" t="s">
        <v>14</v>
      </c>
      <c r="L7" s="45" t="s">
        <v>40</v>
      </c>
      <c r="M7" s="46" t="s">
        <v>14</v>
      </c>
      <c r="N7" s="42" t="s">
        <v>25</v>
      </c>
      <c r="O7" s="42" t="s">
        <v>26</v>
      </c>
    </row>
    <row r="8" spans="1:15" ht="44.45" customHeight="1" x14ac:dyDescent="0.2">
      <c r="A8" s="36">
        <v>1</v>
      </c>
      <c r="B8" s="26" t="s">
        <v>77</v>
      </c>
      <c r="C8" s="27">
        <f>SUMIF(Data!E:E,B8,Data!F:F)</f>
        <v>42</v>
      </c>
      <c r="D8" s="28"/>
      <c r="E8" s="29" t="s">
        <v>14</v>
      </c>
      <c r="F8" s="30"/>
      <c r="G8" s="31"/>
      <c r="H8" s="32">
        <f>+G8-$D$6</f>
        <v>0</v>
      </c>
      <c r="J8" s="47">
        <f t="shared" ref="J8:J26" si="0">ROUNDDOWN((D8/C8),0)</f>
        <v>0</v>
      </c>
      <c r="K8" s="48">
        <f>SUMIF(Data!E:E,'มหาชัย(2)'!B8,Data!F:F)*J8</f>
        <v>0</v>
      </c>
      <c r="L8" s="49">
        <f t="shared" ref="L8:L26" si="1">ROUNDUP((M8/C8),0)</f>
        <v>0</v>
      </c>
      <c r="M8" s="50">
        <f t="shared" ref="M8:M26" si="2">D8-K8</f>
        <v>0</v>
      </c>
      <c r="N8" s="33">
        <f>INDEX(Data!C:C,MATCH(F4,Data!B:B,0))</f>
        <v>60</v>
      </c>
      <c r="O8" s="51">
        <f t="shared" ref="O8:O26" si="3">H8-N8</f>
        <v>-60</v>
      </c>
    </row>
    <row r="9" spans="1:15" ht="44.45" customHeight="1" x14ac:dyDescent="0.2">
      <c r="A9" s="36">
        <v>2</v>
      </c>
      <c r="B9" s="26" t="s">
        <v>66</v>
      </c>
      <c r="C9" s="27">
        <f>SUMIF(Data!E:E,B9,Data!F:F)</f>
        <v>36</v>
      </c>
      <c r="D9" s="28"/>
      <c r="E9" s="29" t="s">
        <v>14</v>
      </c>
      <c r="F9" s="30"/>
      <c r="G9" s="31"/>
      <c r="H9" s="32">
        <f t="shared" ref="H9:H26" si="4">+G9-$D$6</f>
        <v>0</v>
      </c>
      <c r="J9" s="47">
        <f t="shared" si="0"/>
        <v>0</v>
      </c>
      <c r="K9" s="48">
        <f>SUMIF(Data!E:E,'มหาชัย(2)'!B9,Data!F:F)*J9</f>
        <v>0</v>
      </c>
      <c r="L9" s="49">
        <f t="shared" si="1"/>
        <v>0</v>
      </c>
      <c r="M9" s="50">
        <f t="shared" si="2"/>
        <v>0</v>
      </c>
      <c r="N9" s="33" t="e">
        <f>INDEX(Data!C:C,MATCH(F5,Data!B:B,0))</f>
        <v>#N/A</v>
      </c>
      <c r="O9" s="51" t="e">
        <f t="shared" si="3"/>
        <v>#N/A</v>
      </c>
    </row>
    <row r="10" spans="1:15" ht="44.45" customHeight="1" x14ac:dyDescent="0.2">
      <c r="A10" s="36">
        <v>3</v>
      </c>
      <c r="B10" s="26" t="s">
        <v>79</v>
      </c>
      <c r="C10" s="27">
        <f>SUMIF(Data!E:E,B10,Data!F:F)</f>
        <v>42</v>
      </c>
      <c r="D10" s="28"/>
      <c r="E10" s="29" t="s">
        <v>14</v>
      </c>
      <c r="F10" s="30"/>
      <c r="G10" s="31"/>
      <c r="H10" s="32">
        <f t="shared" si="4"/>
        <v>0</v>
      </c>
      <c r="J10" s="47">
        <f t="shared" si="0"/>
        <v>0</v>
      </c>
      <c r="K10" s="48">
        <f>SUMIF(Data!E:E,'มหาชัย(2)'!B10,Data!F:F)*J10</f>
        <v>0</v>
      </c>
      <c r="L10" s="49">
        <f t="shared" si="1"/>
        <v>0</v>
      </c>
      <c r="M10" s="50">
        <f t="shared" si="2"/>
        <v>0</v>
      </c>
      <c r="N10" s="33" t="e">
        <f>INDEX(Data!C:C,MATCH(F6,Data!B:B,0))</f>
        <v>#N/A</v>
      </c>
      <c r="O10" s="51" t="e">
        <f t="shared" si="3"/>
        <v>#N/A</v>
      </c>
    </row>
    <row r="11" spans="1:15" ht="44.45" customHeight="1" x14ac:dyDescent="0.2">
      <c r="A11" s="36">
        <v>4</v>
      </c>
      <c r="B11" s="26" t="s">
        <v>80</v>
      </c>
      <c r="C11" s="27">
        <f>SUMIF(Data!E:E,B11,Data!F:F)</f>
        <v>50</v>
      </c>
      <c r="D11" s="28"/>
      <c r="E11" s="29" t="s">
        <v>14</v>
      </c>
      <c r="F11" s="30"/>
      <c r="G11" s="31"/>
      <c r="H11" s="32">
        <f t="shared" si="4"/>
        <v>0</v>
      </c>
      <c r="J11" s="47">
        <f t="shared" si="0"/>
        <v>0</v>
      </c>
      <c r="K11" s="48">
        <f>SUMIF(Data!E:E,'มหาชัย(2)'!B11,Data!F:F)*J11</f>
        <v>0</v>
      </c>
      <c r="L11" s="49">
        <f t="shared" si="1"/>
        <v>0</v>
      </c>
      <c r="M11" s="50">
        <f t="shared" si="2"/>
        <v>0</v>
      </c>
      <c r="N11" s="33" t="e">
        <f>INDEX(Data!C:C,MATCH(F7,Data!B:B,0))</f>
        <v>#N/A</v>
      </c>
      <c r="O11" s="51" t="e">
        <f t="shared" si="3"/>
        <v>#N/A</v>
      </c>
    </row>
    <row r="12" spans="1:15" ht="44.45" customHeight="1" x14ac:dyDescent="0.2">
      <c r="A12" s="36">
        <v>5</v>
      </c>
      <c r="B12" s="26" t="s">
        <v>71</v>
      </c>
      <c r="C12" s="27">
        <f>SUMIF(Data!E:E,B12,Data!F:F)</f>
        <v>81</v>
      </c>
      <c r="D12" s="28"/>
      <c r="E12" s="29" t="s">
        <v>14</v>
      </c>
      <c r="F12" s="30"/>
      <c r="G12" s="31"/>
      <c r="H12" s="32">
        <f t="shared" si="4"/>
        <v>0</v>
      </c>
      <c r="J12" s="47">
        <f t="shared" si="0"/>
        <v>0</v>
      </c>
      <c r="K12" s="48">
        <f>SUMIF(Data!E:E,'มหาชัย(2)'!B12,Data!F:F)*J12</f>
        <v>0</v>
      </c>
      <c r="L12" s="49">
        <f t="shared" si="1"/>
        <v>0</v>
      </c>
      <c r="M12" s="50">
        <f t="shared" si="2"/>
        <v>0</v>
      </c>
      <c r="N12" s="33" t="e">
        <f>INDEX(Data!C:C,MATCH(F8,Data!B:B,0))</f>
        <v>#N/A</v>
      </c>
      <c r="O12" s="51" t="e">
        <f t="shared" si="3"/>
        <v>#N/A</v>
      </c>
    </row>
    <row r="13" spans="1:15" ht="44.45" customHeight="1" x14ac:dyDescent="0.2">
      <c r="A13" s="36">
        <v>6</v>
      </c>
      <c r="B13" s="26" t="s">
        <v>84</v>
      </c>
      <c r="C13" s="27">
        <f>SUMIF(Data!E:E,B13,Data!F:F)</f>
        <v>42</v>
      </c>
      <c r="D13" s="28"/>
      <c r="E13" s="29" t="s">
        <v>14</v>
      </c>
      <c r="F13" s="30"/>
      <c r="G13" s="31"/>
      <c r="H13" s="32">
        <f t="shared" si="4"/>
        <v>0</v>
      </c>
      <c r="J13" s="47">
        <f t="shared" si="0"/>
        <v>0</v>
      </c>
      <c r="K13" s="48">
        <f>SUMIF(Data!E:E,'มหาชัย(2)'!B13,Data!F:F)*J13</f>
        <v>0</v>
      </c>
      <c r="L13" s="49">
        <f t="shared" si="1"/>
        <v>0</v>
      </c>
      <c r="M13" s="50">
        <f t="shared" si="2"/>
        <v>0</v>
      </c>
      <c r="N13" s="33" t="e">
        <f>INDEX(Data!C:C,MATCH(F9,Data!B:B,0))</f>
        <v>#N/A</v>
      </c>
      <c r="O13" s="51" t="e">
        <f t="shared" si="3"/>
        <v>#N/A</v>
      </c>
    </row>
    <row r="14" spans="1:15" ht="44.45" customHeight="1" x14ac:dyDescent="0.2">
      <c r="A14" s="36">
        <v>7</v>
      </c>
      <c r="B14" s="26" t="s">
        <v>85</v>
      </c>
      <c r="C14" s="27">
        <f>SUMIF(Data!E:E,B14,Data!F:F)</f>
        <v>32</v>
      </c>
      <c r="D14" s="28"/>
      <c r="E14" s="29" t="s">
        <v>14</v>
      </c>
      <c r="F14" s="30"/>
      <c r="G14" s="31"/>
      <c r="H14" s="32">
        <f t="shared" si="4"/>
        <v>0</v>
      </c>
      <c r="J14" s="47">
        <f t="shared" si="0"/>
        <v>0</v>
      </c>
      <c r="K14" s="48">
        <f>SUMIF(Data!E:E,'มหาชัย(2)'!B14,Data!F:F)*J14</f>
        <v>0</v>
      </c>
      <c r="L14" s="49">
        <f t="shared" si="1"/>
        <v>0</v>
      </c>
      <c r="M14" s="50">
        <f t="shared" si="2"/>
        <v>0</v>
      </c>
      <c r="N14" s="33" t="e">
        <f>INDEX(Data!C:C,MATCH(F10,Data!B:B,0))</f>
        <v>#N/A</v>
      </c>
      <c r="O14" s="51" t="e">
        <f t="shared" si="3"/>
        <v>#N/A</v>
      </c>
    </row>
    <row r="15" spans="1:15" ht="44.45" customHeight="1" x14ac:dyDescent="0.2">
      <c r="A15" s="36">
        <v>8</v>
      </c>
      <c r="B15" s="26" t="s">
        <v>76</v>
      </c>
      <c r="C15" s="27">
        <f>SUMIF(Data!E:E,B15,Data!F:F)</f>
        <v>70</v>
      </c>
      <c r="D15" s="28"/>
      <c r="E15" s="29" t="s">
        <v>14</v>
      </c>
      <c r="F15" s="30"/>
      <c r="G15" s="31"/>
      <c r="H15" s="32">
        <f t="shared" si="4"/>
        <v>0</v>
      </c>
      <c r="J15" s="47">
        <f t="shared" si="0"/>
        <v>0</v>
      </c>
      <c r="K15" s="48">
        <f>SUMIF(Data!E:E,'มหาชัย(2)'!B15,Data!F:F)*J15</f>
        <v>0</v>
      </c>
      <c r="L15" s="49">
        <f t="shared" si="1"/>
        <v>0</v>
      </c>
      <c r="M15" s="50">
        <f t="shared" si="2"/>
        <v>0</v>
      </c>
      <c r="N15" s="33" t="e">
        <f>INDEX(Data!C:C,MATCH(F11,Data!B:B,0))</f>
        <v>#N/A</v>
      </c>
      <c r="O15" s="51" t="e">
        <f t="shared" si="3"/>
        <v>#N/A</v>
      </c>
    </row>
    <row r="16" spans="1:15" ht="44.45" customHeight="1" x14ac:dyDescent="0.2">
      <c r="A16" s="36">
        <v>9</v>
      </c>
      <c r="B16" s="26" t="s">
        <v>89</v>
      </c>
      <c r="C16" s="27">
        <f>SUMIF(Data!E:E,B16,Data!F:F)</f>
        <v>45</v>
      </c>
      <c r="D16" s="28"/>
      <c r="E16" s="29" t="s">
        <v>14</v>
      </c>
      <c r="F16" s="30"/>
      <c r="G16" s="31"/>
      <c r="H16" s="32">
        <f t="shared" si="4"/>
        <v>0</v>
      </c>
      <c r="J16" s="47">
        <f t="shared" si="0"/>
        <v>0</v>
      </c>
      <c r="K16" s="48">
        <f>SUMIF(Data!E:E,'มหาชัย(2)'!B16,Data!F:F)*J16</f>
        <v>0</v>
      </c>
      <c r="L16" s="49">
        <f t="shared" si="1"/>
        <v>0</v>
      </c>
      <c r="M16" s="50">
        <f t="shared" si="2"/>
        <v>0</v>
      </c>
      <c r="N16" s="33" t="e">
        <f>INDEX(Data!C:C,MATCH(F12,Data!B:B,0))</f>
        <v>#N/A</v>
      </c>
      <c r="O16" s="51" t="e">
        <f t="shared" si="3"/>
        <v>#N/A</v>
      </c>
    </row>
    <row r="17" spans="1:15" ht="44.45" customHeight="1" x14ac:dyDescent="0.2">
      <c r="A17" s="36">
        <v>10</v>
      </c>
      <c r="B17" s="26" t="s">
        <v>88</v>
      </c>
      <c r="C17" s="27">
        <f>SUMIF(Data!E:E,B17,Data!F:F)</f>
        <v>48</v>
      </c>
      <c r="D17" s="28"/>
      <c r="E17" s="29" t="s">
        <v>14</v>
      </c>
      <c r="F17" s="30"/>
      <c r="G17" s="31"/>
      <c r="H17" s="32">
        <f t="shared" si="4"/>
        <v>0</v>
      </c>
      <c r="J17" s="47">
        <f t="shared" si="0"/>
        <v>0</v>
      </c>
      <c r="K17" s="48">
        <f>SUMIF(Data!E:E,'มหาชัย(2)'!B17,Data!F:F)*J17</f>
        <v>0</v>
      </c>
      <c r="L17" s="49">
        <f t="shared" si="1"/>
        <v>0</v>
      </c>
      <c r="M17" s="50">
        <f t="shared" si="2"/>
        <v>0</v>
      </c>
      <c r="N17" s="33" t="e">
        <f>INDEX(Data!C:C,MATCH(F13,Data!B:B,0))</f>
        <v>#N/A</v>
      </c>
      <c r="O17" s="51" t="e">
        <f t="shared" si="3"/>
        <v>#N/A</v>
      </c>
    </row>
    <row r="18" spans="1:15" ht="44.45" customHeight="1" x14ac:dyDescent="0.2">
      <c r="A18" s="36">
        <v>11</v>
      </c>
      <c r="B18" s="26" t="s">
        <v>87</v>
      </c>
      <c r="C18" s="27">
        <f>SUMIF(Data!E:E,B18,Data!F:F)</f>
        <v>48</v>
      </c>
      <c r="D18" s="28"/>
      <c r="E18" s="29" t="s">
        <v>14</v>
      </c>
      <c r="F18" s="30"/>
      <c r="G18" s="31"/>
      <c r="H18" s="32">
        <f t="shared" si="4"/>
        <v>0</v>
      </c>
      <c r="J18" s="47">
        <f t="shared" si="0"/>
        <v>0</v>
      </c>
      <c r="K18" s="48">
        <f>SUMIF(Data!E:E,'มหาชัย(2)'!B18,Data!F:F)*J18</f>
        <v>0</v>
      </c>
      <c r="L18" s="49">
        <f t="shared" si="1"/>
        <v>0</v>
      </c>
      <c r="M18" s="50">
        <f t="shared" si="2"/>
        <v>0</v>
      </c>
      <c r="N18" s="33" t="e">
        <f>INDEX(Data!C:C,MATCH(F14,Data!B:B,0))</f>
        <v>#N/A</v>
      </c>
      <c r="O18" s="51" t="e">
        <f t="shared" si="3"/>
        <v>#N/A</v>
      </c>
    </row>
    <row r="19" spans="1:15" ht="44.45" customHeight="1" x14ac:dyDescent="0.2">
      <c r="A19" s="36">
        <v>12</v>
      </c>
      <c r="B19" s="26" t="s">
        <v>90</v>
      </c>
      <c r="C19" s="27">
        <f>SUMIF(Data!E:E,B19,Data!F:F)</f>
        <v>60</v>
      </c>
      <c r="D19" s="28"/>
      <c r="E19" s="29" t="s">
        <v>14</v>
      </c>
      <c r="F19" s="30"/>
      <c r="G19" s="31"/>
      <c r="H19" s="32">
        <f t="shared" si="4"/>
        <v>0</v>
      </c>
      <c r="J19" s="47">
        <f t="shared" si="0"/>
        <v>0</v>
      </c>
      <c r="K19" s="48">
        <f>SUMIF(Data!E:E,'มหาชัย(2)'!B19,Data!F:F)*J19</f>
        <v>0</v>
      </c>
      <c r="L19" s="49">
        <f t="shared" si="1"/>
        <v>0</v>
      </c>
      <c r="M19" s="50">
        <f t="shared" si="2"/>
        <v>0</v>
      </c>
      <c r="N19" s="33" t="e">
        <f>INDEX(Data!C:C,MATCH(F15,Data!B:B,0))</f>
        <v>#N/A</v>
      </c>
      <c r="O19" s="51" t="e">
        <f t="shared" si="3"/>
        <v>#N/A</v>
      </c>
    </row>
    <row r="20" spans="1:15" ht="44.45" customHeight="1" x14ac:dyDescent="0.2">
      <c r="A20" s="36">
        <v>13</v>
      </c>
      <c r="B20" s="26" t="s">
        <v>91</v>
      </c>
      <c r="C20" s="27">
        <f>SUMIF(Data!E:E,B20,Data!F:F)</f>
        <v>50</v>
      </c>
      <c r="D20" s="28"/>
      <c r="E20" s="29" t="s">
        <v>14</v>
      </c>
      <c r="F20" s="30"/>
      <c r="G20" s="31"/>
      <c r="H20" s="32">
        <f t="shared" si="4"/>
        <v>0</v>
      </c>
      <c r="J20" s="47">
        <f t="shared" si="0"/>
        <v>0</v>
      </c>
      <c r="K20" s="48">
        <f>SUMIF(Data!E:E,'มหาชัย(2)'!B20,Data!F:F)*J20</f>
        <v>0</v>
      </c>
      <c r="L20" s="49">
        <f t="shared" si="1"/>
        <v>0</v>
      </c>
      <c r="M20" s="50">
        <f t="shared" si="2"/>
        <v>0</v>
      </c>
      <c r="N20" s="33" t="e">
        <f>INDEX(Data!C:C,MATCH(F16,Data!B:B,0))</f>
        <v>#N/A</v>
      </c>
      <c r="O20" s="51" t="e">
        <f t="shared" si="3"/>
        <v>#N/A</v>
      </c>
    </row>
    <row r="21" spans="1:15" ht="44.45" customHeight="1" x14ac:dyDescent="0.2">
      <c r="A21" s="36">
        <v>14</v>
      </c>
      <c r="B21" s="26" t="s">
        <v>93</v>
      </c>
      <c r="C21" s="27">
        <f>SUMIF(Data!E:E,B21,Data!F:F)</f>
        <v>60</v>
      </c>
      <c r="D21" s="28"/>
      <c r="E21" s="29" t="s">
        <v>14</v>
      </c>
      <c r="F21" s="30"/>
      <c r="G21" s="31"/>
      <c r="H21" s="32">
        <f t="shared" si="4"/>
        <v>0</v>
      </c>
      <c r="J21" s="47">
        <f t="shared" si="0"/>
        <v>0</v>
      </c>
      <c r="K21" s="48">
        <f>SUMIF(Data!E:E,'มหาชัย(2)'!B21,Data!F:F)*J21</f>
        <v>0</v>
      </c>
      <c r="L21" s="49">
        <f t="shared" si="1"/>
        <v>0</v>
      </c>
      <c r="M21" s="50">
        <f t="shared" si="2"/>
        <v>0</v>
      </c>
      <c r="N21" s="33" t="e">
        <f>INDEX(Data!C:C,MATCH(F17,Data!B:B,0))</f>
        <v>#N/A</v>
      </c>
      <c r="O21" s="51" t="e">
        <f t="shared" si="3"/>
        <v>#N/A</v>
      </c>
    </row>
    <row r="22" spans="1:15" ht="44.45" customHeight="1" x14ac:dyDescent="0.2">
      <c r="A22" s="36">
        <v>15</v>
      </c>
      <c r="B22" s="26" t="s">
        <v>94</v>
      </c>
      <c r="C22" s="27">
        <f>SUMIF(Data!E:E,B22,Data!F:F)</f>
        <v>55</v>
      </c>
      <c r="D22" s="28"/>
      <c r="E22" s="29" t="s">
        <v>14</v>
      </c>
      <c r="F22" s="30"/>
      <c r="G22" s="31"/>
      <c r="H22" s="32">
        <f t="shared" si="4"/>
        <v>0</v>
      </c>
      <c r="J22" s="47">
        <f t="shared" si="0"/>
        <v>0</v>
      </c>
      <c r="K22" s="48">
        <f>SUMIF(Data!E:E,'มหาชัย(2)'!B22,Data!F:F)*J22</f>
        <v>0</v>
      </c>
      <c r="L22" s="49">
        <f t="shared" si="1"/>
        <v>0</v>
      </c>
      <c r="M22" s="50">
        <f t="shared" si="2"/>
        <v>0</v>
      </c>
      <c r="N22" s="33" t="e">
        <f>INDEX(Data!C:C,MATCH(F18,Data!B:B,0))</f>
        <v>#N/A</v>
      </c>
      <c r="O22" s="51" t="e">
        <f t="shared" si="3"/>
        <v>#N/A</v>
      </c>
    </row>
    <row r="23" spans="1:15" ht="44.45" customHeight="1" x14ac:dyDescent="0.2">
      <c r="A23" s="36">
        <v>16</v>
      </c>
      <c r="B23" s="26" t="s">
        <v>95</v>
      </c>
      <c r="C23" s="27">
        <f>SUMIF(Data!E:E,B23,Data!F:F)</f>
        <v>50</v>
      </c>
      <c r="D23" s="28"/>
      <c r="E23" s="29" t="s">
        <v>14</v>
      </c>
      <c r="F23" s="30"/>
      <c r="G23" s="31"/>
      <c r="H23" s="32">
        <f t="shared" si="4"/>
        <v>0</v>
      </c>
      <c r="J23" s="47">
        <f t="shared" si="0"/>
        <v>0</v>
      </c>
      <c r="K23" s="48">
        <f>SUMIF(Data!E:E,'มหาชัย(2)'!B23,Data!F:F)*J23</f>
        <v>0</v>
      </c>
      <c r="L23" s="49">
        <f t="shared" si="1"/>
        <v>0</v>
      </c>
      <c r="M23" s="50">
        <f t="shared" si="2"/>
        <v>0</v>
      </c>
      <c r="N23" s="33" t="e">
        <f>INDEX(Data!C:C,MATCH(F19,Data!B:B,0))</f>
        <v>#N/A</v>
      </c>
      <c r="O23" s="51" t="e">
        <f t="shared" si="3"/>
        <v>#N/A</v>
      </c>
    </row>
    <row r="24" spans="1:15" ht="44.45" customHeight="1" x14ac:dyDescent="0.2">
      <c r="A24" s="36">
        <v>17</v>
      </c>
      <c r="B24" s="26" t="s">
        <v>98</v>
      </c>
      <c r="C24" s="27">
        <f>SUMIF(Data!E:E,B24,Data!F:F)</f>
        <v>55</v>
      </c>
      <c r="D24" s="28"/>
      <c r="E24" s="29" t="s">
        <v>14</v>
      </c>
      <c r="F24" s="30"/>
      <c r="G24" s="31"/>
      <c r="H24" s="32">
        <f t="shared" si="4"/>
        <v>0</v>
      </c>
      <c r="J24" s="47">
        <f t="shared" si="0"/>
        <v>0</v>
      </c>
      <c r="K24" s="48">
        <f>SUMIF(Data!E:E,'มหาชัย(2)'!B24,Data!F:F)*J24</f>
        <v>0</v>
      </c>
      <c r="L24" s="49">
        <f t="shared" si="1"/>
        <v>0</v>
      </c>
      <c r="M24" s="50">
        <f t="shared" si="2"/>
        <v>0</v>
      </c>
      <c r="N24" s="33" t="e">
        <f>INDEX(Data!C:C,MATCH(F20,Data!B:B,0))</f>
        <v>#N/A</v>
      </c>
      <c r="O24" s="51" t="e">
        <f t="shared" si="3"/>
        <v>#N/A</v>
      </c>
    </row>
    <row r="25" spans="1:15" ht="44.45" customHeight="1" x14ac:dyDescent="0.2">
      <c r="A25" s="36">
        <v>18</v>
      </c>
      <c r="B25" s="26" t="s">
        <v>99</v>
      </c>
      <c r="C25" s="27">
        <f>SUMIF(Data!E:E,B25,Data!F:F)</f>
        <v>55</v>
      </c>
      <c r="D25" s="28"/>
      <c r="E25" s="29" t="s">
        <v>14</v>
      </c>
      <c r="F25" s="30"/>
      <c r="G25" s="31"/>
      <c r="H25" s="32">
        <f t="shared" si="4"/>
        <v>0</v>
      </c>
      <c r="J25" s="47">
        <f t="shared" si="0"/>
        <v>0</v>
      </c>
      <c r="K25" s="48">
        <f>SUMIF(Data!E:E,'มหาชัย(2)'!B25,Data!F:F)*J25</f>
        <v>0</v>
      </c>
      <c r="L25" s="49">
        <f t="shared" si="1"/>
        <v>0</v>
      </c>
      <c r="M25" s="50">
        <f t="shared" si="2"/>
        <v>0</v>
      </c>
      <c r="N25" s="33" t="e">
        <f>INDEX(Data!C:C,MATCH(F21,Data!B:B,0))</f>
        <v>#N/A</v>
      </c>
      <c r="O25" s="51" t="e">
        <f t="shared" si="3"/>
        <v>#N/A</v>
      </c>
    </row>
    <row r="26" spans="1:15" ht="44.45" customHeight="1" x14ac:dyDescent="0.2">
      <c r="A26" s="36">
        <v>19</v>
      </c>
      <c r="B26" s="26" t="s">
        <v>100</v>
      </c>
      <c r="C26" s="27">
        <f>SUMIF(Data!E:E,B26,Data!F:F)</f>
        <v>81</v>
      </c>
      <c r="D26" s="28"/>
      <c r="E26" s="29" t="s">
        <v>14</v>
      </c>
      <c r="F26" s="30"/>
      <c r="G26" s="31"/>
      <c r="H26" s="32">
        <f t="shared" si="4"/>
        <v>0</v>
      </c>
      <c r="J26" s="47">
        <f t="shared" si="0"/>
        <v>0</v>
      </c>
      <c r="K26" s="48">
        <f>SUMIF(Data!E:E,'มหาชัย(2)'!B26,Data!F:F)*J26</f>
        <v>0</v>
      </c>
      <c r="L26" s="49">
        <f t="shared" si="1"/>
        <v>0</v>
      </c>
      <c r="M26" s="50">
        <f t="shared" si="2"/>
        <v>0</v>
      </c>
      <c r="N26" s="33" t="e">
        <f>INDEX(Data!C:C,MATCH(F22,Data!B:B,0))</f>
        <v>#N/A</v>
      </c>
      <c r="O26" s="51" t="e">
        <f t="shared" si="3"/>
        <v>#N/A</v>
      </c>
    </row>
    <row r="27" spans="1:15" ht="54.6" customHeight="1" x14ac:dyDescent="0.2">
      <c r="A27" s="60" t="s">
        <v>5</v>
      </c>
      <c r="B27" s="60"/>
      <c r="C27" s="40"/>
      <c r="D27" s="41">
        <f>SUM(D8:D23)</f>
        <v>0</v>
      </c>
      <c r="E27" s="42"/>
      <c r="F27" s="42"/>
      <c r="G27" s="42"/>
      <c r="H27" s="1"/>
      <c r="J27" s="14" t="s">
        <v>39</v>
      </c>
      <c r="K27" s="14" t="s">
        <v>41</v>
      </c>
      <c r="L27" s="14" t="s">
        <v>57</v>
      </c>
    </row>
    <row r="28" spans="1:15" ht="20.100000000000001" customHeight="1" x14ac:dyDescent="0.2">
      <c r="J28" s="13">
        <f>SUM($J$8:$J$26)</f>
        <v>0</v>
      </c>
      <c r="K28" s="13">
        <f>SUM($L$8:$L$26)</f>
        <v>0</v>
      </c>
      <c r="L28" s="13">
        <f>SUM(J28:K28)</f>
        <v>0</v>
      </c>
    </row>
    <row r="29" spans="1:15" ht="20.100000000000001" customHeight="1" x14ac:dyDescent="0.2">
      <c r="L29" s="13"/>
    </row>
    <row r="30" spans="1:15" ht="61.5" customHeight="1" x14ac:dyDescent="0.25">
      <c r="A30" s="8"/>
      <c r="B30" s="9" t="s">
        <v>29</v>
      </c>
      <c r="C30" s="9"/>
      <c r="G30" s="8" t="s">
        <v>31</v>
      </c>
      <c r="K30" s="11"/>
      <c r="L30" s="8"/>
      <c r="N30" s="8"/>
      <c r="O30" s="8"/>
    </row>
    <row r="31" spans="1:15" ht="61.5" customHeight="1" x14ac:dyDescent="0.25">
      <c r="A31" s="8"/>
      <c r="B31" s="8" t="s">
        <v>28</v>
      </c>
      <c r="C31" s="8"/>
      <c r="F31" s="8"/>
      <c r="G31" s="8" t="s">
        <v>32</v>
      </c>
      <c r="H31" s="8"/>
      <c r="K31" s="11"/>
      <c r="L31" s="8"/>
      <c r="N31" s="8"/>
      <c r="O31" s="8"/>
    </row>
    <row r="32" spans="1:15" ht="61.5" customHeight="1" x14ac:dyDescent="0.25">
      <c r="A32" s="8"/>
      <c r="B32" s="8" t="s">
        <v>30</v>
      </c>
      <c r="C32" s="8"/>
      <c r="F32" s="8"/>
      <c r="G32" s="8" t="s">
        <v>33</v>
      </c>
      <c r="H32" s="9"/>
      <c r="J32" s="11"/>
      <c r="L32" s="9"/>
      <c r="N32" s="9"/>
      <c r="O32" s="9"/>
    </row>
    <row r="33" ht="20.100000000000001" customHeight="1" x14ac:dyDescent="0.2"/>
    <row r="34" ht="20.100000000000001" customHeight="1" x14ac:dyDescent="0.2"/>
    <row r="35" ht="20.100000000000001" customHeight="1" x14ac:dyDescent="0.2"/>
    <row r="36" ht="20.100000000000001" customHeight="1" x14ac:dyDescent="0.2"/>
    <row r="37" ht="20.100000000000001" customHeight="1" x14ac:dyDescent="0.2"/>
    <row r="38" ht="20.100000000000001" customHeight="1" x14ac:dyDescent="0.2"/>
    <row r="39" ht="20.100000000000001" customHeight="1" x14ac:dyDescent="0.2"/>
    <row r="40" ht="20.100000000000001" customHeight="1" x14ac:dyDescent="0.2"/>
    <row r="41" ht="20.100000000000001" customHeight="1" x14ac:dyDescent="0.2"/>
  </sheetData>
  <mergeCells count="13">
    <mergeCell ref="A1:F2"/>
    <mergeCell ref="A3:H3"/>
    <mergeCell ref="D4:E4"/>
    <mergeCell ref="F4:H4"/>
    <mergeCell ref="A5:A6"/>
    <mergeCell ref="B5:B6"/>
    <mergeCell ref="D5:E5"/>
    <mergeCell ref="F5:H6"/>
    <mergeCell ref="J5:M5"/>
    <mergeCell ref="D6:E6"/>
    <mergeCell ref="J6:K6"/>
    <mergeCell ref="L6:M6"/>
    <mergeCell ref="A27:B27"/>
  </mergeCells>
  <conditionalFormatting sqref="H8:H26">
    <cfRule type="cellIs" dxfId="131" priority="5" operator="lessThan">
      <formula>-1</formula>
    </cfRule>
    <cfRule type="cellIs" dxfId="130" priority="6" operator="equal">
      <formula>"-"</formula>
    </cfRule>
  </conditionalFormatting>
  <conditionalFormatting sqref="J8:O26">
    <cfRule type="containsErrors" dxfId="129" priority="4">
      <formula>ISERROR(J8)</formula>
    </cfRule>
  </conditionalFormatting>
  <conditionalFormatting sqref="O8:O26">
    <cfRule type="cellIs" dxfId="128" priority="1" operator="lessThan">
      <formula>0</formula>
    </cfRule>
    <cfRule type="cellIs" dxfId="127" priority="2" operator="greaterThan">
      <formula>15</formula>
    </cfRule>
    <cfRule type="cellIs" dxfId="126" priority="3" operator="lessThan">
      <formula>16</formula>
    </cfRule>
  </conditionalFormatting>
  <pageMargins left="0.7" right="0.7" top="0.75" bottom="0.75" header="0.3" footer="0.3"/>
  <pageSetup paperSize="9" scale="38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BEAA13B-F9D6-494F-BA9D-7C834EA7D5F7}">
          <x14:formula1>
            <xm:f>Data!$B$2:$B$22</xm:f>
          </x14:formula1>
          <xm:sqref>F4</xm:sqref>
        </x14:dataValidation>
        <x14:dataValidation type="list" allowBlank="1" showInputMessage="1" showErrorMessage="1" xr:uid="{ECF71A1D-5E71-47E6-B2F7-51A4FF7CFF90}">
          <x14:formula1>
            <xm:f>Data!$G$2:$G$6</xm:f>
          </x14:formula1>
          <xm:sqref>E8:E26</xm:sqref>
        </x14:dataValidation>
        <x14:dataValidation type="list" allowBlank="1" showInputMessage="1" showErrorMessage="1" xr:uid="{E1603F58-238E-45BA-A4A7-D6EF303DC410}">
          <x14:formula1>
            <xm:f>Data!$E$2:$E$37</xm:f>
          </x14:formula1>
          <xm:sqref>B8:B26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24AFF-248F-443B-A240-AA3626EC720F}">
  <sheetPr>
    <tabColor rgb="FF92D050"/>
    <pageSetUpPr fitToPage="1"/>
  </sheetPr>
  <dimension ref="A1:O41"/>
  <sheetViews>
    <sheetView topLeftCell="A10" zoomScale="55" zoomScaleNormal="55" zoomScaleSheetLayoutView="50" workbookViewId="0">
      <selection activeCell="B26" sqref="B26"/>
    </sheetView>
  </sheetViews>
  <sheetFormatPr defaultRowHeight="14.25" x14ac:dyDescent="0.2"/>
  <cols>
    <col min="2" max="2" width="60.875" customWidth="1"/>
    <col min="3" max="3" width="9.375" customWidth="1"/>
    <col min="4" max="4" width="19.625" customWidth="1"/>
    <col min="5" max="5" width="10.375" customWidth="1"/>
    <col min="6" max="7" width="22.125" customWidth="1"/>
    <col min="8" max="8" width="20.875" customWidth="1"/>
    <col min="9" max="9" width="1.875" customWidth="1"/>
    <col min="10" max="13" width="13.875" customWidth="1"/>
    <col min="14" max="14" width="8.75" customWidth="1"/>
    <col min="15" max="15" width="18.125" customWidth="1"/>
  </cols>
  <sheetData>
    <row r="1" spans="1:15" ht="39.6" customHeight="1" x14ac:dyDescent="0.2">
      <c r="A1" s="61" t="s">
        <v>19</v>
      </c>
      <c r="B1" s="61"/>
      <c r="C1" s="61"/>
      <c r="D1" s="61"/>
      <c r="E1" s="61"/>
      <c r="F1" s="61"/>
      <c r="G1" s="6" t="s">
        <v>17</v>
      </c>
      <c r="H1" s="5" t="s">
        <v>58</v>
      </c>
    </row>
    <row r="2" spans="1:15" ht="40.5" customHeight="1" thickBot="1" x14ac:dyDescent="0.25">
      <c r="A2" s="62"/>
      <c r="B2" s="62"/>
      <c r="C2" s="62"/>
      <c r="D2" s="62"/>
      <c r="E2" s="62"/>
      <c r="F2" s="62"/>
      <c r="G2" s="6" t="s">
        <v>27</v>
      </c>
      <c r="H2" s="15"/>
    </row>
    <row r="3" spans="1:15" ht="48.6" customHeight="1" x14ac:dyDescent="0.2">
      <c r="A3" s="63" t="s">
        <v>1</v>
      </c>
      <c r="B3" s="64"/>
      <c r="C3" s="64"/>
      <c r="D3" s="64"/>
      <c r="E3" s="64"/>
      <c r="F3" s="64"/>
      <c r="G3" s="64"/>
      <c r="H3" s="65"/>
    </row>
    <row r="4" spans="1:15" ht="54.95" customHeight="1" x14ac:dyDescent="0.2">
      <c r="A4" s="33" t="s">
        <v>0</v>
      </c>
      <c r="B4" s="34" t="s">
        <v>21</v>
      </c>
      <c r="C4" s="35"/>
      <c r="D4" s="66" t="s">
        <v>6</v>
      </c>
      <c r="E4" s="66"/>
      <c r="F4" s="57" t="s">
        <v>55</v>
      </c>
      <c r="G4" s="57"/>
      <c r="H4" s="57"/>
    </row>
    <row r="5" spans="1:15" ht="30.95" customHeight="1" x14ac:dyDescent="0.2">
      <c r="A5" s="55" t="s">
        <v>2</v>
      </c>
      <c r="B5" s="67"/>
      <c r="C5" s="37"/>
      <c r="D5" s="55" t="s">
        <v>18</v>
      </c>
      <c r="E5" s="55"/>
      <c r="F5" s="68"/>
      <c r="G5" s="68"/>
      <c r="H5" s="68"/>
      <c r="J5" s="55" t="s">
        <v>38</v>
      </c>
      <c r="K5" s="55"/>
      <c r="L5" s="55"/>
      <c r="M5" s="55"/>
    </row>
    <row r="6" spans="1:15" ht="30.6" customHeight="1" x14ac:dyDescent="0.2">
      <c r="A6" s="55"/>
      <c r="B6" s="67"/>
      <c r="C6" s="37"/>
      <c r="D6" s="56"/>
      <c r="E6" s="57"/>
      <c r="F6" s="68"/>
      <c r="G6" s="68"/>
      <c r="H6" s="68"/>
      <c r="J6" s="58" t="s">
        <v>39</v>
      </c>
      <c r="K6" s="58"/>
      <c r="L6" s="59" t="s">
        <v>41</v>
      </c>
      <c r="M6" s="59"/>
    </row>
    <row r="7" spans="1:15" s="7" customFormat="1" ht="36.6" customHeight="1" x14ac:dyDescent="0.25">
      <c r="A7" s="38" t="s">
        <v>3</v>
      </c>
      <c r="B7" s="38" t="s">
        <v>4</v>
      </c>
      <c r="C7" s="38" t="s">
        <v>42</v>
      </c>
      <c r="D7" s="38" t="s">
        <v>11</v>
      </c>
      <c r="E7" s="38" t="s">
        <v>12</v>
      </c>
      <c r="F7" s="38" t="s">
        <v>9</v>
      </c>
      <c r="G7" s="38" t="s">
        <v>10</v>
      </c>
      <c r="H7" s="39" t="s">
        <v>24</v>
      </c>
      <c r="J7" s="43" t="s">
        <v>40</v>
      </c>
      <c r="K7" s="44" t="s">
        <v>14</v>
      </c>
      <c r="L7" s="45" t="s">
        <v>40</v>
      </c>
      <c r="M7" s="46" t="s">
        <v>14</v>
      </c>
      <c r="N7" s="42" t="s">
        <v>25</v>
      </c>
      <c r="O7" s="42" t="s">
        <v>26</v>
      </c>
    </row>
    <row r="8" spans="1:15" ht="44.45" customHeight="1" x14ac:dyDescent="0.2">
      <c r="A8" s="36">
        <v>1</v>
      </c>
      <c r="B8" s="26" t="s">
        <v>77</v>
      </c>
      <c r="C8" s="27">
        <f>SUMIF(Data!E:E,B8,Data!F:F)</f>
        <v>42</v>
      </c>
      <c r="D8" s="28"/>
      <c r="E8" s="29" t="s">
        <v>14</v>
      </c>
      <c r="F8" s="30"/>
      <c r="G8" s="31"/>
      <c r="H8" s="32">
        <f>+G8-$D$6</f>
        <v>0</v>
      </c>
      <c r="J8" s="47">
        <f t="shared" ref="J8:J26" si="0">ROUNDDOWN((D8/C8),0)</f>
        <v>0</v>
      </c>
      <c r="K8" s="48">
        <f>SUMIF(Data!E:E,'มหาชัย(2)'!B8,Data!F:F)*J8</f>
        <v>0</v>
      </c>
      <c r="L8" s="49">
        <f t="shared" ref="L8:L26" si="1">ROUNDUP((M8/C8),0)</f>
        <v>0</v>
      </c>
      <c r="M8" s="50">
        <f t="shared" ref="M8:M26" si="2">D8-K8</f>
        <v>0</v>
      </c>
      <c r="N8" s="33">
        <f>INDEX(Data!C:C,MATCH(F4,Data!B:B,0))</f>
        <v>60</v>
      </c>
      <c r="O8" s="51">
        <f t="shared" ref="O8:O26" si="3">H8-N8</f>
        <v>-60</v>
      </c>
    </row>
    <row r="9" spans="1:15" ht="44.45" customHeight="1" x14ac:dyDescent="0.2">
      <c r="A9" s="36">
        <v>2</v>
      </c>
      <c r="B9" s="26" t="s">
        <v>66</v>
      </c>
      <c r="C9" s="27">
        <f>SUMIF(Data!E:E,B9,Data!F:F)</f>
        <v>36</v>
      </c>
      <c r="D9" s="28"/>
      <c r="E9" s="29" t="s">
        <v>14</v>
      </c>
      <c r="F9" s="30"/>
      <c r="G9" s="31"/>
      <c r="H9" s="32">
        <f t="shared" ref="H9:H26" si="4">+G9-$D$6</f>
        <v>0</v>
      </c>
      <c r="J9" s="47">
        <f t="shared" si="0"/>
        <v>0</v>
      </c>
      <c r="K9" s="48">
        <f>SUMIF(Data!E:E,'มหาชัย(2)'!B9,Data!F:F)*J9</f>
        <v>0</v>
      </c>
      <c r="L9" s="49">
        <f t="shared" si="1"/>
        <v>0</v>
      </c>
      <c r="M9" s="50">
        <f t="shared" si="2"/>
        <v>0</v>
      </c>
      <c r="N9" s="33" t="e">
        <f>INDEX(Data!C:C,MATCH(F5,Data!B:B,0))</f>
        <v>#N/A</v>
      </c>
      <c r="O9" s="51" t="e">
        <f t="shared" si="3"/>
        <v>#N/A</v>
      </c>
    </row>
    <row r="10" spans="1:15" ht="44.45" customHeight="1" x14ac:dyDescent="0.2">
      <c r="A10" s="36">
        <v>3</v>
      </c>
      <c r="B10" s="26" t="s">
        <v>79</v>
      </c>
      <c r="C10" s="27">
        <f>SUMIF(Data!E:E,B10,Data!F:F)</f>
        <v>42</v>
      </c>
      <c r="D10" s="28"/>
      <c r="E10" s="29" t="s">
        <v>14</v>
      </c>
      <c r="F10" s="30"/>
      <c r="G10" s="31"/>
      <c r="H10" s="32">
        <f t="shared" si="4"/>
        <v>0</v>
      </c>
      <c r="J10" s="47">
        <f t="shared" si="0"/>
        <v>0</v>
      </c>
      <c r="K10" s="48">
        <f>SUMIF(Data!E:E,'มหาชัย(2)'!B10,Data!F:F)*J10</f>
        <v>0</v>
      </c>
      <c r="L10" s="49">
        <f t="shared" si="1"/>
        <v>0</v>
      </c>
      <c r="M10" s="50">
        <f t="shared" si="2"/>
        <v>0</v>
      </c>
      <c r="N10" s="33" t="e">
        <f>INDEX(Data!C:C,MATCH(F6,Data!B:B,0))</f>
        <v>#N/A</v>
      </c>
      <c r="O10" s="51" t="e">
        <f t="shared" si="3"/>
        <v>#N/A</v>
      </c>
    </row>
    <row r="11" spans="1:15" ht="44.45" customHeight="1" x14ac:dyDescent="0.2">
      <c r="A11" s="36">
        <v>4</v>
      </c>
      <c r="B11" s="26" t="s">
        <v>80</v>
      </c>
      <c r="C11" s="27">
        <f>SUMIF(Data!E:E,B11,Data!F:F)</f>
        <v>50</v>
      </c>
      <c r="D11" s="28"/>
      <c r="E11" s="29" t="s">
        <v>14</v>
      </c>
      <c r="F11" s="30"/>
      <c r="G11" s="31"/>
      <c r="H11" s="32">
        <f t="shared" si="4"/>
        <v>0</v>
      </c>
      <c r="J11" s="47">
        <f t="shared" si="0"/>
        <v>0</v>
      </c>
      <c r="K11" s="48">
        <f>SUMIF(Data!E:E,'มหาชัย(2)'!B11,Data!F:F)*J11</f>
        <v>0</v>
      </c>
      <c r="L11" s="49">
        <f t="shared" si="1"/>
        <v>0</v>
      </c>
      <c r="M11" s="50">
        <f t="shared" si="2"/>
        <v>0</v>
      </c>
      <c r="N11" s="33" t="e">
        <f>INDEX(Data!C:C,MATCH(F7,Data!B:B,0))</f>
        <v>#N/A</v>
      </c>
      <c r="O11" s="51" t="e">
        <f t="shared" si="3"/>
        <v>#N/A</v>
      </c>
    </row>
    <row r="12" spans="1:15" ht="44.45" customHeight="1" x14ac:dyDescent="0.2">
      <c r="A12" s="36">
        <v>5</v>
      </c>
      <c r="B12" s="26" t="s">
        <v>71</v>
      </c>
      <c r="C12" s="27">
        <f>SUMIF(Data!E:E,B12,Data!F:F)</f>
        <v>81</v>
      </c>
      <c r="D12" s="28"/>
      <c r="E12" s="29" t="s">
        <v>14</v>
      </c>
      <c r="F12" s="30"/>
      <c r="G12" s="31"/>
      <c r="H12" s="32">
        <f t="shared" si="4"/>
        <v>0</v>
      </c>
      <c r="J12" s="47">
        <f t="shared" si="0"/>
        <v>0</v>
      </c>
      <c r="K12" s="48">
        <f>SUMIF(Data!E:E,'มหาชัย(2)'!B12,Data!F:F)*J12</f>
        <v>0</v>
      </c>
      <c r="L12" s="49">
        <f t="shared" si="1"/>
        <v>0</v>
      </c>
      <c r="M12" s="50">
        <f t="shared" si="2"/>
        <v>0</v>
      </c>
      <c r="N12" s="33" t="e">
        <f>INDEX(Data!C:C,MATCH(F8,Data!B:B,0))</f>
        <v>#N/A</v>
      </c>
      <c r="O12" s="51" t="e">
        <f t="shared" si="3"/>
        <v>#N/A</v>
      </c>
    </row>
    <row r="13" spans="1:15" ht="44.45" customHeight="1" x14ac:dyDescent="0.2">
      <c r="A13" s="36">
        <v>6</v>
      </c>
      <c r="B13" s="26" t="s">
        <v>84</v>
      </c>
      <c r="C13" s="27">
        <f>SUMIF(Data!E:E,B13,Data!F:F)</f>
        <v>42</v>
      </c>
      <c r="D13" s="28"/>
      <c r="E13" s="29" t="s">
        <v>14</v>
      </c>
      <c r="F13" s="30"/>
      <c r="G13" s="31"/>
      <c r="H13" s="32">
        <f t="shared" si="4"/>
        <v>0</v>
      </c>
      <c r="J13" s="47">
        <f t="shared" si="0"/>
        <v>0</v>
      </c>
      <c r="K13" s="48">
        <f>SUMIF(Data!E:E,'มหาชัย(2)'!B13,Data!F:F)*J13</f>
        <v>0</v>
      </c>
      <c r="L13" s="49">
        <f t="shared" si="1"/>
        <v>0</v>
      </c>
      <c r="M13" s="50">
        <f t="shared" si="2"/>
        <v>0</v>
      </c>
      <c r="N13" s="33" t="e">
        <f>INDEX(Data!C:C,MATCH(F9,Data!B:B,0))</f>
        <v>#N/A</v>
      </c>
      <c r="O13" s="51" t="e">
        <f t="shared" si="3"/>
        <v>#N/A</v>
      </c>
    </row>
    <row r="14" spans="1:15" ht="44.45" customHeight="1" x14ac:dyDescent="0.2">
      <c r="A14" s="36">
        <v>7</v>
      </c>
      <c r="B14" s="26" t="s">
        <v>85</v>
      </c>
      <c r="C14" s="27">
        <f>SUMIF(Data!E:E,B14,Data!F:F)</f>
        <v>32</v>
      </c>
      <c r="D14" s="28"/>
      <c r="E14" s="29" t="s">
        <v>14</v>
      </c>
      <c r="F14" s="30"/>
      <c r="G14" s="31"/>
      <c r="H14" s="32">
        <f t="shared" si="4"/>
        <v>0</v>
      </c>
      <c r="J14" s="47">
        <f t="shared" si="0"/>
        <v>0</v>
      </c>
      <c r="K14" s="48">
        <f>SUMIF(Data!E:E,'มหาชัย(2)'!B14,Data!F:F)*J14</f>
        <v>0</v>
      </c>
      <c r="L14" s="49">
        <f t="shared" si="1"/>
        <v>0</v>
      </c>
      <c r="M14" s="50">
        <f t="shared" si="2"/>
        <v>0</v>
      </c>
      <c r="N14" s="33" t="e">
        <f>INDEX(Data!C:C,MATCH(F10,Data!B:B,0))</f>
        <v>#N/A</v>
      </c>
      <c r="O14" s="51" t="e">
        <f t="shared" si="3"/>
        <v>#N/A</v>
      </c>
    </row>
    <row r="15" spans="1:15" ht="44.45" customHeight="1" x14ac:dyDescent="0.2">
      <c r="A15" s="36">
        <v>8</v>
      </c>
      <c r="B15" s="26" t="s">
        <v>76</v>
      </c>
      <c r="C15" s="27">
        <f>SUMIF(Data!E:E,B15,Data!F:F)</f>
        <v>70</v>
      </c>
      <c r="D15" s="28"/>
      <c r="E15" s="29" t="s">
        <v>14</v>
      </c>
      <c r="F15" s="30"/>
      <c r="G15" s="31"/>
      <c r="H15" s="32">
        <f t="shared" si="4"/>
        <v>0</v>
      </c>
      <c r="J15" s="47">
        <f t="shared" si="0"/>
        <v>0</v>
      </c>
      <c r="K15" s="48">
        <f>SUMIF(Data!E:E,'มหาชัย(2)'!B15,Data!F:F)*J15</f>
        <v>0</v>
      </c>
      <c r="L15" s="49">
        <f t="shared" si="1"/>
        <v>0</v>
      </c>
      <c r="M15" s="50">
        <f t="shared" si="2"/>
        <v>0</v>
      </c>
      <c r="N15" s="33" t="e">
        <f>INDEX(Data!C:C,MATCH(F11,Data!B:B,0))</f>
        <v>#N/A</v>
      </c>
      <c r="O15" s="51" t="e">
        <f t="shared" si="3"/>
        <v>#N/A</v>
      </c>
    </row>
    <row r="16" spans="1:15" ht="44.45" customHeight="1" x14ac:dyDescent="0.2">
      <c r="A16" s="36">
        <v>9</v>
      </c>
      <c r="B16" s="26" t="s">
        <v>89</v>
      </c>
      <c r="C16" s="27">
        <f>SUMIF(Data!E:E,B16,Data!F:F)</f>
        <v>45</v>
      </c>
      <c r="D16" s="28"/>
      <c r="E16" s="29" t="s">
        <v>14</v>
      </c>
      <c r="F16" s="30"/>
      <c r="G16" s="31"/>
      <c r="H16" s="32">
        <f t="shared" si="4"/>
        <v>0</v>
      </c>
      <c r="J16" s="47">
        <f t="shared" si="0"/>
        <v>0</v>
      </c>
      <c r="K16" s="48">
        <f>SUMIF(Data!E:E,'มหาชัย(2)'!B16,Data!F:F)*J16</f>
        <v>0</v>
      </c>
      <c r="L16" s="49">
        <f t="shared" si="1"/>
        <v>0</v>
      </c>
      <c r="M16" s="50">
        <f t="shared" si="2"/>
        <v>0</v>
      </c>
      <c r="N16" s="33" t="e">
        <f>INDEX(Data!C:C,MATCH(F12,Data!B:B,0))</f>
        <v>#N/A</v>
      </c>
      <c r="O16" s="51" t="e">
        <f t="shared" si="3"/>
        <v>#N/A</v>
      </c>
    </row>
    <row r="17" spans="1:15" ht="44.45" customHeight="1" x14ac:dyDescent="0.2">
      <c r="A17" s="36">
        <v>10</v>
      </c>
      <c r="B17" s="26" t="s">
        <v>88</v>
      </c>
      <c r="C17" s="27">
        <f>SUMIF(Data!E:E,B17,Data!F:F)</f>
        <v>48</v>
      </c>
      <c r="D17" s="28"/>
      <c r="E17" s="29" t="s">
        <v>14</v>
      </c>
      <c r="F17" s="30"/>
      <c r="G17" s="31"/>
      <c r="H17" s="32">
        <f t="shared" si="4"/>
        <v>0</v>
      </c>
      <c r="J17" s="47">
        <f t="shared" si="0"/>
        <v>0</v>
      </c>
      <c r="K17" s="48">
        <f>SUMIF(Data!E:E,'มหาชัย(2)'!B17,Data!F:F)*J17</f>
        <v>0</v>
      </c>
      <c r="L17" s="49">
        <f t="shared" si="1"/>
        <v>0</v>
      </c>
      <c r="M17" s="50">
        <f t="shared" si="2"/>
        <v>0</v>
      </c>
      <c r="N17" s="33" t="e">
        <f>INDEX(Data!C:C,MATCH(F13,Data!B:B,0))</f>
        <v>#N/A</v>
      </c>
      <c r="O17" s="51" t="e">
        <f t="shared" si="3"/>
        <v>#N/A</v>
      </c>
    </row>
    <row r="18" spans="1:15" ht="44.45" customHeight="1" x14ac:dyDescent="0.2">
      <c r="A18" s="36">
        <v>11</v>
      </c>
      <c r="B18" s="26" t="s">
        <v>87</v>
      </c>
      <c r="C18" s="27">
        <f>SUMIF(Data!E:E,B18,Data!F:F)</f>
        <v>48</v>
      </c>
      <c r="D18" s="28"/>
      <c r="E18" s="29" t="s">
        <v>14</v>
      </c>
      <c r="F18" s="30"/>
      <c r="G18" s="31"/>
      <c r="H18" s="32">
        <f t="shared" si="4"/>
        <v>0</v>
      </c>
      <c r="J18" s="47">
        <f t="shared" si="0"/>
        <v>0</v>
      </c>
      <c r="K18" s="48">
        <f>SUMIF(Data!E:E,'มหาชัย(2)'!B18,Data!F:F)*J18</f>
        <v>0</v>
      </c>
      <c r="L18" s="49">
        <f t="shared" si="1"/>
        <v>0</v>
      </c>
      <c r="M18" s="50">
        <f t="shared" si="2"/>
        <v>0</v>
      </c>
      <c r="N18" s="33" t="e">
        <f>INDEX(Data!C:C,MATCH(F14,Data!B:B,0))</f>
        <v>#N/A</v>
      </c>
      <c r="O18" s="51" t="e">
        <f t="shared" si="3"/>
        <v>#N/A</v>
      </c>
    </row>
    <row r="19" spans="1:15" ht="44.45" customHeight="1" x14ac:dyDescent="0.2">
      <c r="A19" s="36">
        <v>12</v>
      </c>
      <c r="B19" s="26" t="s">
        <v>90</v>
      </c>
      <c r="C19" s="27">
        <f>SUMIF(Data!E:E,B19,Data!F:F)</f>
        <v>60</v>
      </c>
      <c r="D19" s="28"/>
      <c r="E19" s="29" t="s">
        <v>14</v>
      </c>
      <c r="F19" s="30"/>
      <c r="G19" s="31"/>
      <c r="H19" s="32">
        <f t="shared" si="4"/>
        <v>0</v>
      </c>
      <c r="J19" s="47">
        <f t="shared" si="0"/>
        <v>0</v>
      </c>
      <c r="K19" s="48">
        <f>SUMIF(Data!E:E,'มหาชัย(2)'!B19,Data!F:F)*J19</f>
        <v>0</v>
      </c>
      <c r="L19" s="49">
        <f t="shared" si="1"/>
        <v>0</v>
      </c>
      <c r="M19" s="50">
        <f t="shared" si="2"/>
        <v>0</v>
      </c>
      <c r="N19" s="33" t="e">
        <f>INDEX(Data!C:C,MATCH(F15,Data!B:B,0))</f>
        <v>#N/A</v>
      </c>
      <c r="O19" s="51" t="e">
        <f t="shared" si="3"/>
        <v>#N/A</v>
      </c>
    </row>
    <row r="20" spans="1:15" ht="44.45" customHeight="1" x14ac:dyDescent="0.2">
      <c r="A20" s="36">
        <v>13</v>
      </c>
      <c r="B20" s="26" t="s">
        <v>91</v>
      </c>
      <c r="C20" s="27">
        <f>SUMIF(Data!E:E,B20,Data!F:F)</f>
        <v>50</v>
      </c>
      <c r="D20" s="28"/>
      <c r="E20" s="29" t="s">
        <v>14</v>
      </c>
      <c r="F20" s="30"/>
      <c r="G20" s="31"/>
      <c r="H20" s="32">
        <f t="shared" si="4"/>
        <v>0</v>
      </c>
      <c r="J20" s="47">
        <f t="shared" si="0"/>
        <v>0</v>
      </c>
      <c r="K20" s="48">
        <f>SUMIF(Data!E:E,'มหาชัย(2)'!B20,Data!F:F)*J20</f>
        <v>0</v>
      </c>
      <c r="L20" s="49">
        <f t="shared" si="1"/>
        <v>0</v>
      </c>
      <c r="M20" s="50">
        <f t="shared" si="2"/>
        <v>0</v>
      </c>
      <c r="N20" s="33" t="e">
        <f>INDEX(Data!C:C,MATCH(F16,Data!B:B,0))</f>
        <v>#N/A</v>
      </c>
      <c r="O20" s="51" t="e">
        <f t="shared" si="3"/>
        <v>#N/A</v>
      </c>
    </row>
    <row r="21" spans="1:15" ht="44.45" customHeight="1" x14ac:dyDescent="0.2">
      <c r="A21" s="36">
        <v>14</v>
      </c>
      <c r="B21" s="26" t="s">
        <v>93</v>
      </c>
      <c r="C21" s="27">
        <f>SUMIF(Data!E:E,B21,Data!F:F)</f>
        <v>60</v>
      </c>
      <c r="D21" s="28"/>
      <c r="E21" s="29" t="s">
        <v>14</v>
      </c>
      <c r="F21" s="30"/>
      <c r="G21" s="31"/>
      <c r="H21" s="32">
        <f t="shared" si="4"/>
        <v>0</v>
      </c>
      <c r="J21" s="47">
        <f t="shared" si="0"/>
        <v>0</v>
      </c>
      <c r="K21" s="48">
        <f>SUMIF(Data!E:E,'มหาชัย(2)'!B21,Data!F:F)*J21</f>
        <v>0</v>
      </c>
      <c r="L21" s="49">
        <f t="shared" si="1"/>
        <v>0</v>
      </c>
      <c r="M21" s="50">
        <f t="shared" si="2"/>
        <v>0</v>
      </c>
      <c r="N21" s="33" t="e">
        <f>INDEX(Data!C:C,MATCH(F17,Data!B:B,0))</f>
        <v>#N/A</v>
      </c>
      <c r="O21" s="51" t="e">
        <f t="shared" si="3"/>
        <v>#N/A</v>
      </c>
    </row>
    <row r="22" spans="1:15" ht="44.45" customHeight="1" x14ac:dyDescent="0.2">
      <c r="A22" s="36">
        <v>15</v>
      </c>
      <c r="B22" s="26" t="s">
        <v>94</v>
      </c>
      <c r="C22" s="27">
        <f>SUMIF(Data!E:E,B22,Data!F:F)</f>
        <v>55</v>
      </c>
      <c r="D22" s="28"/>
      <c r="E22" s="29" t="s">
        <v>14</v>
      </c>
      <c r="F22" s="30"/>
      <c r="G22" s="31"/>
      <c r="H22" s="32">
        <f t="shared" si="4"/>
        <v>0</v>
      </c>
      <c r="J22" s="47">
        <f t="shared" si="0"/>
        <v>0</v>
      </c>
      <c r="K22" s="48">
        <f>SUMIF(Data!E:E,'มหาชัย(2)'!B22,Data!F:F)*J22</f>
        <v>0</v>
      </c>
      <c r="L22" s="49">
        <f t="shared" si="1"/>
        <v>0</v>
      </c>
      <c r="M22" s="50">
        <f t="shared" si="2"/>
        <v>0</v>
      </c>
      <c r="N22" s="33" t="e">
        <f>INDEX(Data!C:C,MATCH(F18,Data!B:B,0))</f>
        <v>#N/A</v>
      </c>
      <c r="O22" s="51" t="e">
        <f t="shared" si="3"/>
        <v>#N/A</v>
      </c>
    </row>
    <row r="23" spans="1:15" ht="44.45" customHeight="1" x14ac:dyDescent="0.2">
      <c r="A23" s="36">
        <v>16</v>
      </c>
      <c r="B23" s="26" t="s">
        <v>95</v>
      </c>
      <c r="C23" s="27">
        <f>SUMIF(Data!E:E,B23,Data!F:F)</f>
        <v>50</v>
      </c>
      <c r="D23" s="28"/>
      <c r="E23" s="29" t="s">
        <v>14</v>
      </c>
      <c r="F23" s="30"/>
      <c r="G23" s="31"/>
      <c r="H23" s="32">
        <f t="shared" si="4"/>
        <v>0</v>
      </c>
      <c r="J23" s="47">
        <f t="shared" si="0"/>
        <v>0</v>
      </c>
      <c r="K23" s="48">
        <f>SUMIF(Data!E:E,'มหาชัย(2)'!B23,Data!F:F)*J23</f>
        <v>0</v>
      </c>
      <c r="L23" s="49">
        <f t="shared" si="1"/>
        <v>0</v>
      </c>
      <c r="M23" s="50">
        <f t="shared" si="2"/>
        <v>0</v>
      </c>
      <c r="N23" s="33" t="e">
        <f>INDEX(Data!C:C,MATCH(F19,Data!B:B,0))</f>
        <v>#N/A</v>
      </c>
      <c r="O23" s="51" t="e">
        <f t="shared" si="3"/>
        <v>#N/A</v>
      </c>
    </row>
    <row r="24" spans="1:15" ht="44.45" customHeight="1" x14ac:dyDescent="0.2">
      <c r="A24" s="36">
        <v>17</v>
      </c>
      <c r="B24" s="26" t="s">
        <v>98</v>
      </c>
      <c r="C24" s="27">
        <f>SUMIF(Data!E:E,B24,Data!F:F)</f>
        <v>55</v>
      </c>
      <c r="D24" s="28"/>
      <c r="E24" s="29" t="s">
        <v>14</v>
      </c>
      <c r="F24" s="30"/>
      <c r="G24" s="31"/>
      <c r="H24" s="32">
        <f t="shared" si="4"/>
        <v>0</v>
      </c>
      <c r="J24" s="47">
        <f t="shared" si="0"/>
        <v>0</v>
      </c>
      <c r="K24" s="48">
        <f>SUMIF(Data!E:E,'มหาชัย(2)'!B24,Data!F:F)*J24</f>
        <v>0</v>
      </c>
      <c r="L24" s="49">
        <f t="shared" si="1"/>
        <v>0</v>
      </c>
      <c r="M24" s="50">
        <f t="shared" si="2"/>
        <v>0</v>
      </c>
      <c r="N24" s="33" t="e">
        <f>INDEX(Data!C:C,MATCH(F20,Data!B:B,0))</f>
        <v>#N/A</v>
      </c>
      <c r="O24" s="51" t="e">
        <f t="shared" si="3"/>
        <v>#N/A</v>
      </c>
    </row>
    <row r="25" spans="1:15" ht="44.45" customHeight="1" x14ac:dyDescent="0.2">
      <c r="A25" s="36">
        <v>18</v>
      </c>
      <c r="B25" s="26" t="s">
        <v>99</v>
      </c>
      <c r="C25" s="27">
        <f>SUMIF(Data!E:E,B25,Data!F:F)</f>
        <v>55</v>
      </c>
      <c r="D25" s="28"/>
      <c r="E25" s="29" t="s">
        <v>14</v>
      </c>
      <c r="F25" s="30"/>
      <c r="G25" s="31"/>
      <c r="H25" s="32">
        <f t="shared" si="4"/>
        <v>0</v>
      </c>
      <c r="J25" s="47">
        <f t="shared" si="0"/>
        <v>0</v>
      </c>
      <c r="K25" s="48">
        <f>SUMIF(Data!E:E,'มหาชัย(2)'!B25,Data!F:F)*J25</f>
        <v>0</v>
      </c>
      <c r="L25" s="49">
        <f t="shared" si="1"/>
        <v>0</v>
      </c>
      <c r="M25" s="50">
        <f t="shared" si="2"/>
        <v>0</v>
      </c>
      <c r="N25" s="33" t="e">
        <f>INDEX(Data!C:C,MATCH(F21,Data!B:B,0))</f>
        <v>#N/A</v>
      </c>
      <c r="O25" s="51" t="e">
        <f t="shared" si="3"/>
        <v>#N/A</v>
      </c>
    </row>
    <row r="26" spans="1:15" ht="44.45" customHeight="1" x14ac:dyDescent="0.2">
      <c r="A26" s="36">
        <v>19</v>
      </c>
      <c r="B26" s="26" t="s">
        <v>100</v>
      </c>
      <c r="C26" s="27">
        <f>SUMIF(Data!E:E,B26,Data!F:F)</f>
        <v>81</v>
      </c>
      <c r="D26" s="28"/>
      <c r="E26" s="29" t="s">
        <v>14</v>
      </c>
      <c r="F26" s="30"/>
      <c r="G26" s="31"/>
      <c r="H26" s="32">
        <f t="shared" si="4"/>
        <v>0</v>
      </c>
      <c r="J26" s="47">
        <f t="shared" si="0"/>
        <v>0</v>
      </c>
      <c r="K26" s="48">
        <f>SUMIF(Data!E:E,'มหาชัย(2)'!B26,Data!F:F)*J26</f>
        <v>0</v>
      </c>
      <c r="L26" s="49">
        <f t="shared" si="1"/>
        <v>0</v>
      </c>
      <c r="M26" s="50">
        <f t="shared" si="2"/>
        <v>0</v>
      </c>
      <c r="N26" s="33" t="e">
        <f>INDEX(Data!C:C,MATCH(F22,Data!B:B,0))</f>
        <v>#N/A</v>
      </c>
      <c r="O26" s="51" t="e">
        <f t="shared" si="3"/>
        <v>#N/A</v>
      </c>
    </row>
    <row r="27" spans="1:15" ht="54.6" customHeight="1" x14ac:dyDescent="0.2">
      <c r="A27" s="60" t="s">
        <v>5</v>
      </c>
      <c r="B27" s="60"/>
      <c r="C27" s="40"/>
      <c r="D27" s="41"/>
      <c r="E27" s="42"/>
      <c r="F27" s="42"/>
      <c r="G27" s="42"/>
      <c r="H27" s="1"/>
      <c r="J27" s="14" t="s">
        <v>39</v>
      </c>
      <c r="K27" s="14" t="s">
        <v>41</v>
      </c>
      <c r="L27" s="14" t="s">
        <v>57</v>
      </c>
    </row>
    <row r="28" spans="1:15" ht="20.100000000000001" customHeight="1" x14ac:dyDescent="0.2">
      <c r="J28" s="13">
        <f>SUM($J$8:$J$26)</f>
        <v>0</v>
      </c>
      <c r="K28" s="13">
        <f>SUM($L$8:$L$26)</f>
        <v>0</v>
      </c>
      <c r="L28" s="13">
        <f>SUM(J28:K28)</f>
        <v>0</v>
      </c>
    </row>
    <row r="29" spans="1:15" ht="20.100000000000001" customHeight="1" x14ac:dyDescent="0.2">
      <c r="L29" s="13"/>
    </row>
    <row r="30" spans="1:15" ht="61.5" customHeight="1" x14ac:dyDescent="0.25">
      <c r="A30" s="8"/>
      <c r="B30" s="9" t="s">
        <v>29</v>
      </c>
      <c r="C30" s="9"/>
      <c r="G30" s="8" t="s">
        <v>31</v>
      </c>
      <c r="K30" s="11"/>
      <c r="L30" s="8"/>
      <c r="N30" s="8"/>
      <c r="O30" s="8"/>
    </row>
    <row r="31" spans="1:15" ht="61.5" customHeight="1" x14ac:dyDescent="0.25">
      <c r="A31" s="8"/>
      <c r="B31" s="8" t="s">
        <v>28</v>
      </c>
      <c r="C31" s="8"/>
      <c r="F31" s="8"/>
      <c r="G31" s="8" t="s">
        <v>32</v>
      </c>
      <c r="H31" s="8"/>
      <c r="K31" s="11"/>
      <c r="L31" s="8"/>
      <c r="N31" s="8"/>
      <c r="O31" s="8"/>
    </row>
    <row r="32" spans="1:15" ht="61.5" customHeight="1" x14ac:dyDescent="0.25">
      <c r="A32" s="8"/>
      <c r="B32" s="8" t="s">
        <v>30</v>
      </c>
      <c r="C32" s="8"/>
      <c r="F32" s="8"/>
      <c r="G32" s="8" t="s">
        <v>33</v>
      </c>
      <c r="H32" s="9"/>
      <c r="J32" s="11"/>
      <c r="L32" s="9"/>
      <c r="N32" s="9"/>
      <c r="O32" s="9"/>
    </row>
    <row r="33" ht="20.100000000000001" customHeight="1" x14ac:dyDescent="0.2"/>
    <row r="34" ht="20.100000000000001" customHeight="1" x14ac:dyDescent="0.2"/>
    <row r="35" ht="20.100000000000001" customHeight="1" x14ac:dyDescent="0.2"/>
    <row r="36" ht="20.100000000000001" customHeight="1" x14ac:dyDescent="0.2"/>
    <row r="37" ht="20.100000000000001" customHeight="1" x14ac:dyDescent="0.2"/>
    <row r="38" ht="20.100000000000001" customHeight="1" x14ac:dyDescent="0.2"/>
    <row r="39" ht="20.100000000000001" customHeight="1" x14ac:dyDescent="0.2"/>
    <row r="40" ht="20.100000000000001" customHeight="1" x14ac:dyDescent="0.2"/>
    <row r="41" ht="20.100000000000001" customHeight="1" x14ac:dyDescent="0.2"/>
  </sheetData>
  <mergeCells count="13">
    <mergeCell ref="A1:F2"/>
    <mergeCell ref="A3:H3"/>
    <mergeCell ref="D4:E4"/>
    <mergeCell ref="F4:H4"/>
    <mergeCell ref="A5:A6"/>
    <mergeCell ref="B5:B6"/>
    <mergeCell ref="D5:E5"/>
    <mergeCell ref="F5:H6"/>
    <mergeCell ref="J5:M5"/>
    <mergeCell ref="D6:E6"/>
    <mergeCell ref="J6:K6"/>
    <mergeCell ref="L6:M6"/>
    <mergeCell ref="A27:B27"/>
  </mergeCells>
  <conditionalFormatting sqref="H8:H26">
    <cfRule type="cellIs" dxfId="125" priority="5" operator="lessThan">
      <formula>-1</formula>
    </cfRule>
    <cfRule type="cellIs" dxfId="124" priority="6" operator="equal">
      <formula>"-"</formula>
    </cfRule>
  </conditionalFormatting>
  <conditionalFormatting sqref="J8:O26">
    <cfRule type="containsErrors" dxfId="123" priority="4">
      <formula>ISERROR(J8)</formula>
    </cfRule>
  </conditionalFormatting>
  <conditionalFormatting sqref="O8:O26">
    <cfRule type="cellIs" dxfId="122" priority="1" operator="lessThan">
      <formula>0</formula>
    </cfRule>
    <cfRule type="cellIs" dxfId="121" priority="2" operator="greaterThan">
      <formula>15</formula>
    </cfRule>
    <cfRule type="cellIs" dxfId="120" priority="3" operator="lessThan">
      <formula>16</formula>
    </cfRule>
  </conditionalFormatting>
  <pageMargins left="0.7" right="0.7" top="0.75" bottom="0.75" header="0.3" footer="0.3"/>
  <pageSetup paperSize="9" scale="38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274E0E7-CB64-4FC5-BDE6-7FEE4287192C}">
          <x14:formula1>
            <xm:f>Data!$B$2:$B$22</xm:f>
          </x14:formula1>
          <xm:sqref>F4</xm:sqref>
        </x14:dataValidation>
        <x14:dataValidation type="list" allowBlank="1" showInputMessage="1" showErrorMessage="1" xr:uid="{3EBFD507-1CEA-487C-A35C-EAE0DAA83FCE}">
          <x14:formula1>
            <xm:f>Data!$G$2:$G$6</xm:f>
          </x14:formula1>
          <xm:sqref>E8:E26</xm:sqref>
        </x14:dataValidation>
        <x14:dataValidation type="list" allowBlank="1" showInputMessage="1" showErrorMessage="1" xr:uid="{B131E2C4-81EA-417D-B21A-5A958845372A}">
          <x14:formula1>
            <xm:f>Data!$E$2:$E$37</xm:f>
          </x14:formula1>
          <xm:sqref>B8:B26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8CDCD-219E-41FE-91E3-699EB6DB4865}">
  <sheetPr>
    <tabColor rgb="FF92D050"/>
    <pageSetUpPr fitToPage="1"/>
  </sheetPr>
  <dimension ref="A1:O41"/>
  <sheetViews>
    <sheetView topLeftCell="A10" zoomScale="55" zoomScaleNormal="55" zoomScaleSheetLayoutView="50" workbookViewId="0">
      <selection activeCell="B26" sqref="B26"/>
    </sheetView>
  </sheetViews>
  <sheetFormatPr defaultRowHeight="14.25" x14ac:dyDescent="0.2"/>
  <cols>
    <col min="2" max="2" width="60.875" customWidth="1"/>
    <col min="3" max="3" width="9.375" customWidth="1"/>
    <col min="4" max="4" width="19.625" customWidth="1"/>
    <col min="5" max="5" width="10.375" customWidth="1"/>
    <col min="6" max="7" width="22.125" customWidth="1"/>
    <col min="8" max="8" width="20.875" customWidth="1"/>
    <col min="9" max="9" width="1.875" customWidth="1"/>
    <col min="10" max="13" width="13.875" customWidth="1"/>
    <col min="14" max="14" width="8.75" customWidth="1"/>
    <col min="15" max="15" width="18.125" customWidth="1"/>
  </cols>
  <sheetData>
    <row r="1" spans="1:15" ht="39.6" customHeight="1" x14ac:dyDescent="0.2">
      <c r="A1" s="61" t="s">
        <v>19</v>
      </c>
      <c r="B1" s="61"/>
      <c r="C1" s="61"/>
      <c r="D1" s="61"/>
      <c r="E1" s="61"/>
      <c r="F1" s="61"/>
      <c r="G1" s="6" t="s">
        <v>17</v>
      </c>
      <c r="H1" s="5" t="s">
        <v>58</v>
      </c>
    </row>
    <row r="2" spans="1:15" ht="40.5" customHeight="1" thickBot="1" x14ac:dyDescent="0.25">
      <c r="A2" s="62"/>
      <c r="B2" s="62"/>
      <c r="C2" s="62"/>
      <c r="D2" s="62"/>
      <c r="E2" s="62"/>
      <c r="F2" s="62"/>
      <c r="G2" s="6" t="s">
        <v>27</v>
      </c>
      <c r="H2" s="15"/>
    </row>
    <row r="3" spans="1:15" ht="48.6" customHeight="1" x14ac:dyDescent="0.2">
      <c r="A3" s="63" t="s">
        <v>1</v>
      </c>
      <c r="B3" s="64"/>
      <c r="C3" s="64"/>
      <c r="D3" s="64"/>
      <c r="E3" s="64"/>
      <c r="F3" s="64"/>
      <c r="G3" s="64"/>
      <c r="H3" s="65"/>
    </row>
    <row r="4" spans="1:15" ht="54.95" customHeight="1" x14ac:dyDescent="0.2">
      <c r="A4" s="33" t="s">
        <v>0</v>
      </c>
      <c r="B4" s="34" t="s">
        <v>21</v>
      </c>
      <c r="C4" s="35"/>
      <c r="D4" s="66" t="s">
        <v>6</v>
      </c>
      <c r="E4" s="66"/>
      <c r="F4" s="57" t="s">
        <v>55</v>
      </c>
      <c r="G4" s="57"/>
      <c r="H4" s="57"/>
    </row>
    <row r="5" spans="1:15" ht="30.95" customHeight="1" x14ac:dyDescent="0.2">
      <c r="A5" s="55" t="s">
        <v>2</v>
      </c>
      <c r="B5" s="67"/>
      <c r="C5" s="37"/>
      <c r="D5" s="55" t="s">
        <v>18</v>
      </c>
      <c r="E5" s="55"/>
      <c r="F5" s="68"/>
      <c r="G5" s="68"/>
      <c r="H5" s="68"/>
      <c r="J5" s="55" t="s">
        <v>38</v>
      </c>
      <c r="K5" s="55"/>
      <c r="L5" s="55"/>
      <c r="M5" s="55"/>
    </row>
    <row r="6" spans="1:15" ht="30.6" customHeight="1" x14ac:dyDescent="0.2">
      <c r="A6" s="55"/>
      <c r="B6" s="67"/>
      <c r="C6" s="37"/>
      <c r="D6" s="56"/>
      <c r="E6" s="57"/>
      <c r="F6" s="68"/>
      <c r="G6" s="68"/>
      <c r="H6" s="68"/>
      <c r="J6" s="58" t="s">
        <v>39</v>
      </c>
      <c r="K6" s="58"/>
      <c r="L6" s="59" t="s">
        <v>41</v>
      </c>
      <c r="M6" s="59"/>
    </row>
    <row r="7" spans="1:15" s="7" customFormat="1" ht="36.6" customHeight="1" x14ac:dyDescent="0.25">
      <c r="A7" s="38" t="s">
        <v>3</v>
      </c>
      <c r="B7" s="38" t="s">
        <v>4</v>
      </c>
      <c r="C7" s="38" t="s">
        <v>42</v>
      </c>
      <c r="D7" s="38" t="s">
        <v>11</v>
      </c>
      <c r="E7" s="38" t="s">
        <v>12</v>
      </c>
      <c r="F7" s="38" t="s">
        <v>9</v>
      </c>
      <c r="G7" s="38" t="s">
        <v>10</v>
      </c>
      <c r="H7" s="39" t="s">
        <v>24</v>
      </c>
      <c r="J7" s="43" t="s">
        <v>40</v>
      </c>
      <c r="K7" s="44" t="s">
        <v>14</v>
      </c>
      <c r="L7" s="45" t="s">
        <v>40</v>
      </c>
      <c r="M7" s="46" t="s">
        <v>14</v>
      </c>
      <c r="N7" s="42" t="s">
        <v>25</v>
      </c>
      <c r="O7" s="42" t="s">
        <v>26</v>
      </c>
    </row>
    <row r="8" spans="1:15" ht="44.45" customHeight="1" x14ac:dyDescent="0.2">
      <c r="A8" s="36">
        <v>1</v>
      </c>
      <c r="B8" s="26" t="s">
        <v>77</v>
      </c>
      <c r="C8" s="27">
        <f>SUMIF(Data!E:E,B8,Data!F:F)</f>
        <v>42</v>
      </c>
      <c r="D8" s="28"/>
      <c r="E8" s="29" t="s">
        <v>14</v>
      </c>
      <c r="F8" s="30"/>
      <c r="G8" s="31"/>
      <c r="H8" s="32">
        <f>+G8-$D$6</f>
        <v>0</v>
      </c>
      <c r="J8" s="47">
        <f t="shared" ref="J8:J26" si="0">ROUNDDOWN((D8/C8),0)</f>
        <v>0</v>
      </c>
      <c r="K8" s="48">
        <f>SUMIF(Data!E:E,'มหาชัย(2)'!B8,Data!F:F)*J8</f>
        <v>0</v>
      </c>
      <c r="L8" s="49">
        <f t="shared" ref="L8:L26" si="1">ROUNDUP((M8/C8),0)</f>
        <v>0</v>
      </c>
      <c r="M8" s="50">
        <f t="shared" ref="M8:M26" si="2">D8-K8</f>
        <v>0</v>
      </c>
      <c r="N8" s="33">
        <f>INDEX(Data!C:C,MATCH(F4,Data!B:B,0))</f>
        <v>60</v>
      </c>
      <c r="O8" s="51">
        <f t="shared" ref="O8:O26" si="3">H8-N8</f>
        <v>-60</v>
      </c>
    </row>
    <row r="9" spans="1:15" ht="44.45" customHeight="1" x14ac:dyDescent="0.2">
      <c r="A9" s="36">
        <v>2</v>
      </c>
      <c r="B9" s="26" t="s">
        <v>66</v>
      </c>
      <c r="C9" s="27">
        <f>SUMIF(Data!E:E,B9,Data!F:F)</f>
        <v>36</v>
      </c>
      <c r="D9" s="28"/>
      <c r="E9" s="29" t="s">
        <v>14</v>
      </c>
      <c r="F9" s="30"/>
      <c r="G9" s="31"/>
      <c r="H9" s="32">
        <f t="shared" ref="H9:H26" si="4">+G9-$D$6</f>
        <v>0</v>
      </c>
      <c r="J9" s="47">
        <f t="shared" si="0"/>
        <v>0</v>
      </c>
      <c r="K9" s="48">
        <f>SUMIF(Data!E:E,'มหาชัย(2)'!B9,Data!F:F)*J9</f>
        <v>0</v>
      </c>
      <c r="L9" s="49">
        <f t="shared" si="1"/>
        <v>0</v>
      </c>
      <c r="M9" s="50">
        <f t="shared" si="2"/>
        <v>0</v>
      </c>
      <c r="N9" s="33" t="e">
        <f>INDEX(Data!C:C,MATCH(F5,Data!B:B,0))</f>
        <v>#N/A</v>
      </c>
      <c r="O9" s="51" t="e">
        <f t="shared" si="3"/>
        <v>#N/A</v>
      </c>
    </row>
    <row r="10" spans="1:15" ht="44.45" customHeight="1" x14ac:dyDescent="0.2">
      <c r="A10" s="36">
        <v>3</v>
      </c>
      <c r="B10" s="26" t="s">
        <v>79</v>
      </c>
      <c r="C10" s="27">
        <f>SUMIF(Data!E:E,B10,Data!F:F)</f>
        <v>42</v>
      </c>
      <c r="D10" s="28"/>
      <c r="E10" s="29" t="s">
        <v>14</v>
      </c>
      <c r="F10" s="30"/>
      <c r="G10" s="31"/>
      <c r="H10" s="32">
        <f t="shared" si="4"/>
        <v>0</v>
      </c>
      <c r="J10" s="47">
        <f t="shared" si="0"/>
        <v>0</v>
      </c>
      <c r="K10" s="48">
        <f>SUMIF(Data!E:E,'มหาชัย(2)'!B10,Data!F:F)*J10</f>
        <v>0</v>
      </c>
      <c r="L10" s="49">
        <f t="shared" si="1"/>
        <v>0</v>
      </c>
      <c r="M10" s="50">
        <f t="shared" si="2"/>
        <v>0</v>
      </c>
      <c r="N10" s="33" t="e">
        <f>INDEX(Data!C:C,MATCH(F6,Data!B:B,0))</f>
        <v>#N/A</v>
      </c>
      <c r="O10" s="51" t="e">
        <f t="shared" si="3"/>
        <v>#N/A</v>
      </c>
    </row>
    <row r="11" spans="1:15" ht="44.45" customHeight="1" x14ac:dyDescent="0.2">
      <c r="A11" s="36">
        <v>4</v>
      </c>
      <c r="B11" s="26" t="s">
        <v>80</v>
      </c>
      <c r="C11" s="27">
        <f>SUMIF(Data!E:E,B11,Data!F:F)</f>
        <v>50</v>
      </c>
      <c r="D11" s="28"/>
      <c r="E11" s="29" t="s">
        <v>14</v>
      </c>
      <c r="F11" s="30"/>
      <c r="G11" s="31"/>
      <c r="H11" s="32">
        <f t="shared" si="4"/>
        <v>0</v>
      </c>
      <c r="J11" s="47">
        <f t="shared" si="0"/>
        <v>0</v>
      </c>
      <c r="K11" s="48">
        <f>SUMIF(Data!E:E,'มหาชัย(2)'!B11,Data!F:F)*J11</f>
        <v>0</v>
      </c>
      <c r="L11" s="49">
        <f t="shared" si="1"/>
        <v>0</v>
      </c>
      <c r="M11" s="50">
        <f t="shared" si="2"/>
        <v>0</v>
      </c>
      <c r="N11" s="33" t="e">
        <f>INDEX(Data!C:C,MATCH(F7,Data!B:B,0))</f>
        <v>#N/A</v>
      </c>
      <c r="O11" s="51" t="e">
        <f t="shared" si="3"/>
        <v>#N/A</v>
      </c>
    </row>
    <row r="12" spans="1:15" ht="44.45" customHeight="1" x14ac:dyDescent="0.2">
      <c r="A12" s="36">
        <v>5</v>
      </c>
      <c r="B12" s="26" t="s">
        <v>71</v>
      </c>
      <c r="C12" s="27">
        <f>SUMIF(Data!E:E,B12,Data!F:F)</f>
        <v>81</v>
      </c>
      <c r="D12" s="28"/>
      <c r="E12" s="29" t="s">
        <v>14</v>
      </c>
      <c r="F12" s="30"/>
      <c r="G12" s="31"/>
      <c r="H12" s="32">
        <f t="shared" si="4"/>
        <v>0</v>
      </c>
      <c r="J12" s="47">
        <f t="shared" si="0"/>
        <v>0</v>
      </c>
      <c r="K12" s="48">
        <f>SUMIF(Data!E:E,'มหาชัย(2)'!B12,Data!F:F)*J12</f>
        <v>0</v>
      </c>
      <c r="L12" s="49">
        <f t="shared" si="1"/>
        <v>0</v>
      </c>
      <c r="M12" s="50">
        <f t="shared" si="2"/>
        <v>0</v>
      </c>
      <c r="N12" s="33" t="e">
        <f>INDEX(Data!C:C,MATCH(F8,Data!B:B,0))</f>
        <v>#N/A</v>
      </c>
      <c r="O12" s="51" t="e">
        <f t="shared" si="3"/>
        <v>#N/A</v>
      </c>
    </row>
    <row r="13" spans="1:15" ht="44.45" customHeight="1" x14ac:dyDescent="0.2">
      <c r="A13" s="36">
        <v>6</v>
      </c>
      <c r="B13" s="26" t="s">
        <v>84</v>
      </c>
      <c r="C13" s="27">
        <f>SUMIF(Data!E:E,B13,Data!F:F)</f>
        <v>42</v>
      </c>
      <c r="D13" s="28"/>
      <c r="E13" s="29" t="s">
        <v>14</v>
      </c>
      <c r="F13" s="30"/>
      <c r="G13" s="31"/>
      <c r="H13" s="32">
        <f t="shared" si="4"/>
        <v>0</v>
      </c>
      <c r="J13" s="47">
        <f t="shared" si="0"/>
        <v>0</v>
      </c>
      <c r="K13" s="48">
        <f>SUMIF(Data!E:E,'มหาชัย(2)'!B13,Data!F:F)*J13</f>
        <v>0</v>
      </c>
      <c r="L13" s="49">
        <f t="shared" si="1"/>
        <v>0</v>
      </c>
      <c r="M13" s="50">
        <f t="shared" si="2"/>
        <v>0</v>
      </c>
      <c r="N13" s="33" t="e">
        <f>INDEX(Data!C:C,MATCH(F9,Data!B:B,0))</f>
        <v>#N/A</v>
      </c>
      <c r="O13" s="51" t="e">
        <f t="shared" si="3"/>
        <v>#N/A</v>
      </c>
    </row>
    <row r="14" spans="1:15" ht="44.45" customHeight="1" x14ac:dyDescent="0.2">
      <c r="A14" s="36">
        <v>7</v>
      </c>
      <c r="B14" s="26" t="s">
        <v>85</v>
      </c>
      <c r="C14" s="27">
        <f>SUMIF(Data!E:E,B14,Data!F:F)</f>
        <v>32</v>
      </c>
      <c r="D14" s="28"/>
      <c r="E14" s="29" t="s">
        <v>14</v>
      </c>
      <c r="F14" s="30"/>
      <c r="G14" s="31"/>
      <c r="H14" s="32">
        <f t="shared" si="4"/>
        <v>0</v>
      </c>
      <c r="J14" s="47">
        <f t="shared" si="0"/>
        <v>0</v>
      </c>
      <c r="K14" s="48">
        <f>SUMIF(Data!E:E,'มหาชัย(2)'!B14,Data!F:F)*J14</f>
        <v>0</v>
      </c>
      <c r="L14" s="49">
        <f t="shared" si="1"/>
        <v>0</v>
      </c>
      <c r="M14" s="50">
        <f t="shared" si="2"/>
        <v>0</v>
      </c>
      <c r="N14" s="33" t="e">
        <f>INDEX(Data!C:C,MATCH(F10,Data!B:B,0))</f>
        <v>#N/A</v>
      </c>
      <c r="O14" s="51" t="e">
        <f t="shared" si="3"/>
        <v>#N/A</v>
      </c>
    </row>
    <row r="15" spans="1:15" ht="44.45" customHeight="1" x14ac:dyDescent="0.2">
      <c r="A15" s="36">
        <v>8</v>
      </c>
      <c r="B15" s="26" t="s">
        <v>76</v>
      </c>
      <c r="C15" s="27">
        <f>SUMIF(Data!E:E,B15,Data!F:F)</f>
        <v>70</v>
      </c>
      <c r="D15" s="28"/>
      <c r="E15" s="29" t="s">
        <v>14</v>
      </c>
      <c r="F15" s="30"/>
      <c r="G15" s="31"/>
      <c r="H15" s="32">
        <f t="shared" si="4"/>
        <v>0</v>
      </c>
      <c r="J15" s="47">
        <f t="shared" si="0"/>
        <v>0</v>
      </c>
      <c r="K15" s="48">
        <f>SUMIF(Data!E:E,'มหาชัย(2)'!B15,Data!F:F)*J15</f>
        <v>0</v>
      </c>
      <c r="L15" s="49">
        <f t="shared" si="1"/>
        <v>0</v>
      </c>
      <c r="M15" s="50">
        <f t="shared" si="2"/>
        <v>0</v>
      </c>
      <c r="N15" s="33" t="e">
        <f>INDEX(Data!C:C,MATCH(F11,Data!B:B,0))</f>
        <v>#N/A</v>
      </c>
      <c r="O15" s="51" t="e">
        <f t="shared" si="3"/>
        <v>#N/A</v>
      </c>
    </row>
    <row r="16" spans="1:15" ht="44.45" customHeight="1" x14ac:dyDescent="0.2">
      <c r="A16" s="36">
        <v>9</v>
      </c>
      <c r="B16" s="26" t="s">
        <v>89</v>
      </c>
      <c r="C16" s="27">
        <f>SUMIF(Data!E:E,B16,Data!F:F)</f>
        <v>45</v>
      </c>
      <c r="D16" s="28"/>
      <c r="E16" s="29" t="s">
        <v>14</v>
      </c>
      <c r="F16" s="30"/>
      <c r="G16" s="31"/>
      <c r="H16" s="32">
        <f t="shared" si="4"/>
        <v>0</v>
      </c>
      <c r="J16" s="47">
        <f t="shared" si="0"/>
        <v>0</v>
      </c>
      <c r="K16" s="48">
        <f>SUMIF(Data!E:E,'มหาชัย(2)'!B16,Data!F:F)*J16</f>
        <v>0</v>
      </c>
      <c r="L16" s="49">
        <f t="shared" si="1"/>
        <v>0</v>
      </c>
      <c r="M16" s="50">
        <f t="shared" si="2"/>
        <v>0</v>
      </c>
      <c r="N16" s="33" t="e">
        <f>INDEX(Data!C:C,MATCH(F12,Data!B:B,0))</f>
        <v>#N/A</v>
      </c>
      <c r="O16" s="51" t="e">
        <f t="shared" si="3"/>
        <v>#N/A</v>
      </c>
    </row>
    <row r="17" spans="1:15" ht="44.45" customHeight="1" x14ac:dyDescent="0.2">
      <c r="A17" s="36">
        <v>10</v>
      </c>
      <c r="B17" s="26" t="s">
        <v>88</v>
      </c>
      <c r="C17" s="27">
        <f>SUMIF(Data!E:E,B17,Data!F:F)</f>
        <v>48</v>
      </c>
      <c r="D17" s="28"/>
      <c r="E17" s="29" t="s">
        <v>14</v>
      </c>
      <c r="F17" s="30"/>
      <c r="G17" s="31"/>
      <c r="H17" s="32">
        <f t="shared" si="4"/>
        <v>0</v>
      </c>
      <c r="J17" s="47">
        <f t="shared" si="0"/>
        <v>0</v>
      </c>
      <c r="K17" s="48">
        <f>SUMIF(Data!E:E,'มหาชัย(2)'!B17,Data!F:F)*J17</f>
        <v>0</v>
      </c>
      <c r="L17" s="49">
        <f t="shared" si="1"/>
        <v>0</v>
      </c>
      <c r="M17" s="50">
        <f t="shared" si="2"/>
        <v>0</v>
      </c>
      <c r="N17" s="33" t="e">
        <f>INDEX(Data!C:C,MATCH(F13,Data!B:B,0))</f>
        <v>#N/A</v>
      </c>
      <c r="O17" s="51" t="e">
        <f t="shared" si="3"/>
        <v>#N/A</v>
      </c>
    </row>
    <row r="18" spans="1:15" ht="44.45" customHeight="1" x14ac:dyDescent="0.2">
      <c r="A18" s="36">
        <v>11</v>
      </c>
      <c r="B18" s="26" t="s">
        <v>87</v>
      </c>
      <c r="C18" s="27">
        <f>SUMIF(Data!E:E,B18,Data!F:F)</f>
        <v>48</v>
      </c>
      <c r="D18" s="28"/>
      <c r="E18" s="29" t="s">
        <v>14</v>
      </c>
      <c r="F18" s="30"/>
      <c r="G18" s="31"/>
      <c r="H18" s="32">
        <f t="shared" si="4"/>
        <v>0</v>
      </c>
      <c r="J18" s="47">
        <f t="shared" si="0"/>
        <v>0</v>
      </c>
      <c r="K18" s="48">
        <f>SUMIF(Data!E:E,'มหาชัย(2)'!B18,Data!F:F)*J18</f>
        <v>0</v>
      </c>
      <c r="L18" s="49">
        <f t="shared" si="1"/>
        <v>0</v>
      </c>
      <c r="M18" s="50">
        <f t="shared" si="2"/>
        <v>0</v>
      </c>
      <c r="N18" s="33" t="e">
        <f>INDEX(Data!C:C,MATCH(F14,Data!B:B,0))</f>
        <v>#N/A</v>
      </c>
      <c r="O18" s="51" t="e">
        <f t="shared" si="3"/>
        <v>#N/A</v>
      </c>
    </row>
    <row r="19" spans="1:15" ht="44.45" customHeight="1" x14ac:dyDescent="0.2">
      <c r="A19" s="36">
        <v>12</v>
      </c>
      <c r="B19" s="26" t="s">
        <v>90</v>
      </c>
      <c r="C19" s="27">
        <f>SUMIF(Data!E:E,B19,Data!F:F)</f>
        <v>60</v>
      </c>
      <c r="D19" s="28"/>
      <c r="E19" s="29" t="s">
        <v>14</v>
      </c>
      <c r="F19" s="30"/>
      <c r="G19" s="31"/>
      <c r="H19" s="32">
        <f t="shared" si="4"/>
        <v>0</v>
      </c>
      <c r="J19" s="47">
        <f t="shared" si="0"/>
        <v>0</v>
      </c>
      <c r="K19" s="48">
        <f>SUMIF(Data!E:E,'มหาชัย(2)'!B19,Data!F:F)*J19</f>
        <v>0</v>
      </c>
      <c r="L19" s="49">
        <f t="shared" si="1"/>
        <v>0</v>
      </c>
      <c r="M19" s="50">
        <f t="shared" si="2"/>
        <v>0</v>
      </c>
      <c r="N19" s="33" t="e">
        <f>INDEX(Data!C:C,MATCH(F15,Data!B:B,0))</f>
        <v>#N/A</v>
      </c>
      <c r="O19" s="51" t="e">
        <f t="shared" si="3"/>
        <v>#N/A</v>
      </c>
    </row>
    <row r="20" spans="1:15" ht="44.45" customHeight="1" x14ac:dyDescent="0.2">
      <c r="A20" s="36">
        <v>13</v>
      </c>
      <c r="B20" s="26" t="s">
        <v>91</v>
      </c>
      <c r="C20" s="27">
        <f>SUMIF(Data!E:E,B20,Data!F:F)</f>
        <v>50</v>
      </c>
      <c r="D20" s="28"/>
      <c r="E20" s="29" t="s">
        <v>14</v>
      </c>
      <c r="F20" s="30"/>
      <c r="G20" s="31"/>
      <c r="H20" s="32">
        <f t="shared" si="4"/>
        <v>0</v>
      </c>
      <c r="J20" s="47">
        <f t="shared" si="0"/>
        <v>0</v>
      </c>
      <c r="K20" s="48">
        <f>SUMIF(Data!E:E,'มหาชัย(2)'!B20,Data!F:F)*J20</f>
        <v>0</v>
      </c>
      <c r="L20" s="49">
        <f t="shared" si="1"/>
        <v>0</v>
      </c>
      <c r="M20" s="50">
        <f t="shared" si="2"/>
        <v>0</v>
      </c>
      <c r="N20" s="33" t="e">
        <f>INDEX(Data!C:C,MATCH(F16,Data!B:B,0))</f>
        <v>#N/A</v>
      </c>
      <c r="O20" s="51" t="e">
        <f t="shared" si="3"/>
        <v>#N/A</v>
      </c>
    </row>
    <row r="21" spans="1:15" ht="44.45" customHeight="1" x14ac:dyDescent="0.2">
      <c r="A21" s="36">
        <v>14</v>
      </c>
      <c r="B21" s="26" t="s">
        <v>93</v>
      </c>
      <c r="C21" s="27">
        <f>SUMIF(Data!E:E,B21,Data!F:F)</f>
        <v>60</v>
      </c>
      <c r="D21" s="28"/>
      <c r="E21" s="29" t="s">
        <v>14</v>
      </c>
      <c r="F21" s="30"/>
      <c r="G21" s="31"/>
      <c r="H21" s="32">
        <f t="shared" si="4"/>
        <v>0</v>
      </c>
      <c r="J21" s="47">
        <f t="shared" si="0"/>
        <v>0</v>
      </c>
      <c r="K21" s="48">
        <f>SUMIF(Data!E:E,'มหาชัย(2)'!B21,Data!F:F)*J21</f>
        <v>0</v>
      </c>
      <c r="L21" s="49">
        <f t="shared" si="1"/>
        <v>0</v>
      </c>
      <c r="M21" s="50">
        <f t="shared" si="2"/>
        <v>0</v>
      </c>
      <c r="N21" s="33" t="e">
        <f>INDEX(Data!C:C,MATCH(F17,Data!B:B,0))</f>
        <v>#N/A</v>
      </c>
      <c r="O21" s="51" t="e">
        <f t="shared" si="3"/>
        <v>#N/A</v>
      </c>
    </row>
    <row r="22" spans="1:15" ht="44.45" customHeight="1" x14ac:dyDescent="0.2">
      <c r="A22" s="36">
        <v>15</v>
      </c>
      <c r="B22" s="26" t="s">
        <v>94</v>
      </c>
      <c r="C22" s="27">
        <f>SUMIF(Data!E:E,B22,Data!F:F)</f>
        <v>55</v>
      </c>
      <c r="D22" s="28"/>
      <c r="E22" s="29" t="s">
        <v>14</v>
      </c>
      <c r="F22" s="30"/>
      <c r="G22" s="31"/>
      <c r="H22" s="32">
        <f t="shared" si="4"/>
        <v>0</v>
      </c>
      <c r="J22" s="47">
        <f t="shared" si="0"/>
        <v>0</v>
      </c>
      <c r="K22" s="48">
        <f>SUMIF(Data!E:E,'มหาชัย(2)'!B22,Data!F:F)*J22</f>
        <v>0</v>
      </c>
      <c r="L22" s="49">
        <f t="shared" si="1"/>
        <v>0</v>
      </c>
      <c r="M22" s="50">
        <f t="shared" si="2"/>
        <v>0</v>
      </c>
      <c r="N22" s="33" t="e">
        <f>INDEX(Data!C:C,MATCH(F18,Data!B:B,0))</f>
        <v>#N/A</v>
      </c>
      <c r="O22" s="51" t="e">
        <f t="shared" si="3"/>
        <v>#N/A</v>
      </c>
    </row>
    <row r="23" spans="1:15" ht="44.45" customHeight="1" x14ac:dyDescent="0.2">
      <c r="A23" s="36">
        <v>16</v>
      </c>
      <c r="B23" s="26" t="s">
        <v>95</v>
      </c>
      <c r="C23" s="27">
        <f>SUMIF(Data!E:E,B23,Data!F:F)</f>
        <v>50</v>
      </c>
      <c r="D23" s="28"/>
      <c r="E23" s="29" t="s">
        <v>14</v>
      </c>
      <c r="F23" s="30"/>
      <c r="G23" s="31"/>
      <c r="H23" s="32">
        <f t="shared" si="4"/>
        <v>0</v>
      </c>
      <c r="J23" s="47">
        <f t="shared" si="0"/>
        <v>0</v>
      </c>
      <c r="K23" s="48">
        <f>SUMIF(Data!E:E,'มหาชัย(2)'!B23,Data!F:F)*J23</f>
        <v>0</v>
      </c>
      <c r="L23" s="49">
        <f t="shared" si="1"/>
        <v>0</v>
      </c>
      <c r="M23" s="50">
        <f t="shared" si="2"/>
        <v>0</v>
      </c>
      <c r="N23" s="33" t="e">
        <f>INDEX(Data!C:C,MATCH(F19,Data!B:B,0))</f>
        <v>#N/A</v>
      </c>
      <c r="O23" s="51" t="e">
        <f t="shared" si="3"/>
        <v>#N/A</v>
      </c>
    </row>
    <row r="24" spans="1:15" ht="44.45" customHeight="1" x14ac:dyDescent="0.2">
      <c r="A24" s="36">
        <v>17</v>
      </c>
      <c r="B24" s="26" t="s">
        <v>98</v>
      </c>
      <c r="C24" s="27">
        <f>SUMIF(Data!E:E,B24,Data!F:F)</f>
        <v>55</v>
      </c>
      <c r="D24" s="28"/>
      <c r="E24" s="29" t="s">
        <v>14</v>
      </c>
      <c r="F24" s="30"/>
      <c r="G24" s="31"/>
      <c r="H24" s="32">
        <f t="shared" si="4"/>
        <v>0</v>
      </c>
      <c r="J24" s="47">
        <f t="shared" si="0"/>
        <v>0</v>
      </c>
      <c r="K24" s="48">
        <f>SUMIF(Data!E:E,'มหาชัย(2)'!B24,Data!F:F)*J24</f>
        <v>0</v>
      </c>
      <c r="L24" s="49">
        <f t="shared" si="1"/>
        <v>0</v>
      </c>
      <c r="M24" s="50">
        <f t="shared" si="2"/>
        <v>0</v>
      </c>
      <c r="N24" s="33" t="e">
        <f>INDEX(Data!C:C,MATCH(F20,Data!B:B,0))</f>
        <v>#N/A</v>
      </c>
      <c r="O24" s="51" t="e">
        <f t="shared" si="3"/>
        <v>#N/A</v>
      </c>
    </row>
    <row r="25" spans="1:15" ht="44.45" customHeight="1" x14ac:dyDescent="0.2">
      <c r="A25" s="36">
        <v>18</v>
      </c>
      <c r="B25" s="26" t="s">
        <v>99</v>
      </c>
      <c r="C25" s="27">
        <f>SUMIF(Data!E:E,B25,Data!F:F)</f>
        <v>55</v>
      </c>
      <c r="D25" s="28"/>
      <c r="E25" s="29" t="s">
        <v>14</v>
      </c>
      <c r="F25" s="30"/>
      <c r="G25" s="31"/>
      <c r="H25" s="32">
        <f t="shared" si="4"/>
        <v>0</v>
      </c>
      <c r="J25" s="47">
        <f t="shared" si="0"/>
        <v>0</v>
      </c>
      <c r="K25" s="48">
        <f>SUMIF(Data!E:E,'มหาชัย(2)'!B25,Data!F:F)*J25</f>
        <v>0</v>
      </c>
      <c r="L25" s="49">
        <f t="shared" si="1"/>
        <v>0</v>
      </c>
      <c r="M25" s="50">
        <f t="shared" si="2"/>
        <v>0</v>
      </c>
      <c r="N25" s="33" t="e">
        <f>INDEX(Data!C:C,MATCH(F21,Data!B:B,0))</f>
        <v>#N/A</v>
      </c>
      <c r="O25" s="51" t="e">
        <f t="shared" si="3"/>
        <v>#N/A</v>
      </c>
    </row>
    <row r="26" spans="1:15" ht="44.45" customHeight="1" x14ac:dyDescent="0.2">
      <c r="A26" s="36">
        <v>19</v>
      </c>
      <c r="B26" s="26" t="s">
        <v>100</v>
      </c>
      <c r="C26" s="27">
        <f>SUMIF(Data!E:E,B26,Data!F:F)</f>
        <v>81</v>
      </c>
      <c r="D26" s="28"/>
      <c r="E26" s="29" t="s">
        <v>14</v>
      </c>
      <c r="F26" s="30"/>
      <c r="G26" s="31"/>
      <c r="H26" s="32">
        <f t="shared" si="4"/>
        <v>0</v>
      </c>
      <c r="J26" s="47">
        <f t="shared" si="0"/>
        <v>0</v>
      </c>
      <c r="K26" s="48">
        <f>SUMIF(Data!E:E,'มหาชัย(2)'!B26,Data!F:F)*J26</f>
        <v>0</v>
      </c>
      <c r="L26" s="49">
        <f t="shared" si="1"/>
        <v>0</v>
      </c>
      <c r="M26" s="50">
        <f t="shared" si="2"/>
        <v>0</v>
      </c>
      <c r="N26" s="33" t="e">
        <f>INDEX(Data!C:C,MATCH(F22,Data!B:B,0))</f>
        <v>#N/A</v>
      </c>
      <c r="O26" s="51" t="e">
        <f t="shared" si="3"/>
        <v>#N/A</v>
      </c>
    </row>
    <row r="27" spans="1:15" ht="54.6" customHeight="1" x14ac:dyDescent="0.2">
      <c r="A27" s="60" t="s">
        <v>5</v>
      </c>
      <c r="B27" s="60"/>
      <c r="C27" s="40"/>
      <c r="D27" s="41"/>
      <c r="E27" s="42"/>
      <c r="F27" s="42"/>
      <c r="G27" s="42"/>
      <c r="H27" s="1"/>
      <c r="J27" s="14" t="s">
        <v>39</v>
      </c>
      <c r="K27" s="14" t="s">
        <v>41</v>
      </c>
      <c r="L27" s="14" t="s">
        <v>57</v>
      </c>
    </row>
    <row r="28" spans="1:15" ht="20.100000000000001" customHeight="1" x14ac:dyDescent="0.2">
      <c r="J28" s="13">
        <f>SUM($J$8:$J$26)</f>
        <v>0</v>
      </c>
      <c r="K28" s="13">
        <f>SUM($L$8:$L$26)</f>
        <v>0</v>
      </c>
      <c r="L28" s="13">
        <f>SUM(J28:K28)</f>
        <v>0</v>
      </c>
    </row>
    <row r="29" spans="1:15" ht="20.100000000000001" customHeight="1" x14ac:dyDescent="0.2">
      <c r="L29" s="13"/>
    </row>
    <row r="30" spans="1:15" ht="61.5" customHeight="1" x14ac:dyDescent="0.25">
      <c r="A30" s="8"/>
      <c r="B30" s="9" t="s">
        <v>29</v>
      </c>
      <c r="C30" s="9"/>
      <c r="G30" s="8" t="s">
        <v>31</v>
      </c>
      <c r="K30" s="11"/>
      <c r="L30" s="8"/>
      <c r="N30" s="8"/>
      <c r="O30" s="8"/>
    </row>
    <row r="31" spans="1:15" ht="61.5" customHeight="1" x14ac:dyDescent="0.25">
      <c r="A31" s="8"/>
      <c r="B31" s="8" t="s">
        <v>28</v>
      </c>
      <c r="C31" s="8"/>
      <c r="F31" s="8"/>
      <c r="G31" s="8" t="s">
        <v>32</v>
      </c>
      <c r="H31" s="8"/>
      <c r="K31" s="11"/>
      <c r="L31" s="8"/>
      <c r="N31" s="8"/>
      <c r="O31" s="8"/>
    </row>
    <row r="32" spans="1:15" ht="61.5" customHeight="1" x14ac:dyDescent="0.25">
      <c r="A32" s="8"/>
      <c r="B32" s="8" t="s">
        <v>30</v>
      </c>
      <c r="C32" s="8"/>
      <c r="F32" s="8"/>
      <c r="G32" s="8" t="s">
        <v>33</v>
      </c>
      <c r="H32" s="9"/>
      <c r="J32" s="11"/>
      <c r="L32" s="9"/>
      <c r="N32" s="9"/>
      <c r="O32" s="9"/>
    </row>
    <row r="33" ht="20.100000000000001" customHeight="1" x14ac:dyDescent="0.2"/>
    <row r="34" ht="20.100000000000001" customHeight="1" x14ac:dyDescent="0.2"/>
    <row r="35" ht="20.100000000000001" customHeight="1" x14ac:dyDescent="0.2"/>
    <row r="36" ht="20.100000000000001" customHeight="1" x14ac:dyDescent="0.2"/>
    <row r="37" ht="20.100000000000001" customHeight="1" x14ac:dyDescent="0.2"/>
    <row r="38" ht="20.100000000000001" customHeight="1" x14ac:dyDescent="0.2"/>
    <row r="39" ht="20.100000000000001" customHeight="1" x14ac:dyDescent="0.2"/>
    <row r="40" ht="20.100000000000001" customHeight="1" x14ac:dyDescent="0.2"/>
    <row r="41" ht="20.100000000000001" customHeight="1" x14ac:dyDescent="0.2"/>
  </sheetData>
  <mergeCells count="13">
    <mergeCell ref="A1:F2"/>
    <mergeCell ref="A3:H3"/>
    <mergeCell ref="D4:E4"/>
    <mergeCell ref="F4:H4"/>
    <mergeCell ref="A5:A6"/>
    <mergeCell ref="B5:B6"/>
    <mergeCell ref="D5:E5"/>
    <mergeCell ref="F5:H6"/>
    <mergeCell ref="J5:M5"/>
    <mergeCell ref="D6:E6"/>
    <mergeCell ref="J6:K6"/>
    <mergeCell ref="L6:M6"/>
    <mergeCell ref="A27:B27"/>
  </mergeCells>
  <conditionalFormatting sqref="H8:H26">
    <cfRule type="cellIs" dxfId="119" priority="5" operator="lessThan">
      <formula>-1</formula>
    </cfRule>
    <cfRule type="cellIs" dxfId="118" priority="6" operator="equal">
      <formula>"-"</formula>
    </cfRule>
  </conditionalFormatting>
  <conditionalFormatting sqref="J8:O26">
    <cfRule type="containsErrors" dxfId="117" priority="4">
      <formula>ISERROR(J8)</formula>
    </cfRule>
  </conditionalFormatting>
  <conditionalFormatting sqref="O8:O26">
    <cfRule type="cellIs" dxfId="116" priority="1" operator="lessThan">
      <formula>0</formula>
    </cfRule>
    <cfRule type="cellIs" dxfId="115" priority="2" operator="greaterThan">
      <formula>15</formula>
    </cfRule>
    <cfRule type="cellIs" dxfId="114" priority="3" operator="lessThan">
      <formula>16</formula>
    </cfRule>
  </conditionalFormatting>
  <pageMargins left="0.7" right="0.7" top="0.75" bottom="0.75" header="0.3" footer="0.3"/>
  <pageSetup paperSize="9" scale="38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9123272-2521-45B4-B7C9-EBA55087ECA5}">
          <x14:formula1>
            <xm:f>Data!$B$2:$B$22</xm:f>
          </x14:formula1>
          <xm:sqref>F4</xm:sqref>
        </x14:dataValidation>
        <x14:dataValidation type="list" allowBlank="1" showInputMessage="1" showErrorMessage="1" xr:uid="{4591FD72-E0FD-4344-B29F-1CC3A8BD27DB}">
          <x14:formula1>
            <xm:f>Data!$G$2:$G$6</xm:f>
          </x14:formula1>
          <xm:sqref>E8:E26</xm:sqref>
        </x14:dataValidation>
        <x14:dataValidation type="list" allowBlank="1" showInputMessage="1" showErrorMessage="1" xr:uid="{01C3E40F-7C9A-44D6-93C9-56B7A6B57682}">
          <x14:formula1>
            <xm:f>Data!$E$2:$E$37</xm:f>
          </x14:formula1>
          <xm:sqref>B8:B26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DE3E9-A04C-4DE4-8232-274B3356C3DB}">
  <sheetPr>
    <tabColor rgb="FF92D050"/>
    <pageSetUpPr fitToPage="1"/>
  </sheetPr>
  <dimension ref="A1:O41"/>
  <sheetViews>
    <sheetView topLeftCell="A7" zoomScale="55" zoomScaleNormal="55" zoomScaleSheetLayoutView="50" workbookViewId="0">
      <selection activeCell="B26" sqref="B26"/>
    </sheetView>
  </sheetViews>
  <sheetFormatPr defaultRowHeight="14.25" x14ac:dyDescent="0.2"/>
  <cols>
    <col min="2" max="2" width="60.875" customWidth="1"/>
    <col min="3" max="3" width="9.375" customWidth="1"/>
    <col min="4" max="4" width="19.625" customWidth="1"/>
    <col min="5" max="5" width="10.375" customWidth="1"/>
    <col min="6" max="7" width="22.125" customWidth="1"/>
    <col min="8" max="8" width="20.875" customWidth="1"/>
    <col min="9" max="9" width="1.875" customWidth="1"/>
    <col min="10" max="13" width="13.875" customWidth="1"/>
    <col min="14" max="14" width="8.75" customWidth="1"/>
    <col min="15" max="15" width="18.125" customWidth="1"/>
  </cols>
  <sheetData>
    <row r="1" spans="1:15" ht="39.6" customHeight="1" x14ac:dyDescent="0.2">
      <c r="A1" s="61" t="s">
        <v>19</v>
      </c>
      <c r="B1" s="61"/>
      <c r="C1" s="61"/>
      <c r="D1" s="61"/>
      <c r="E1" s="61"/>
      <c r="F1" s="61"/>
      <c r="G1" s="6" t="s">
        <v>17</v>
      </c>
      <c r="H1" s="5" t="s">
        <v>58</v>
      </c>
    </row>
    <row r="2" spans="1:15" ht="40.5" customHeight="1" thickBot="1" x14ac:dyDescent="0.25">
      <c r="A2" s="62"/>
      <c r="B2" s="62"/>
      <c r="C2" s="62"/>
      <c r="D2" s="62"/>
      <c r="E2" s="62"/>
      <c r="F2" s="62"/>
      <c r="G2" s="6" t="s">
        <v>27</v>
      </c>
      <c r="H2" s="15"/>
    </row>
    <row r="3" spans="1:15" ht="48.6" customHeight="1" x14ac:dyDescent="0.2">
      <c r="A3" s="63" t="s">
        <v>1</v>
      </c>
      <c r="B3" s="64"/>
      <c r="C3" s="64"/>
      <c r="D3" s="64"/>
      <c r="E3" s="64"/>
      <c r="F3" s="64"/>
      <c r="G3" s="64"/>
      <c r="H3" s="65"/>
    </row>
    <row r="4" spans="1:15" ht="54.95" customHeight="1" x14ac:dyDescent="0.2">
      <c r="A4" s="33" t="s">
        <v>0</v>
      </c>
      <c r="B4" s="34" t="s">
        <v>21</v>
      </c>
      <c r="C4" s="35"/>
      <c r="D4" s="66" t="s">
        <v>6</v>
      </c>
      <c r="E4" s="66"/>
      <c r="F4" s="57" t="s">
        <v>55</v>
      </c>
      <c r="G4" s="57"/>
      <c r="H4" s="57"/>
    </row>
    <row r="5" spans="1:15" ht="30.95" customHeight="1" x14ac:dyDescent="0.2">
      <c r="A5" s="55" t="s">
        <v>2</v>
      </c>
      <c r="B5" s="67"/>
      <c r="C5" s="37"/>
      <c r="D5" s="55" t="s">
        <v>18</v>
      </c>
      <c r="E5" s="55"/>
      <c r="F5" s="68"/>
      <c r="G5" s="68"/>
      <c r="H5" s="68"/>
      <c r="J5" s="55" t="s">
        <v>38</v>
      </c>
      <c r="K5" s="55"/>
      <c r="L5" s="55"/>
      <c r="M5" s="55"/>
    </row>
    <row r="6" spans="1:15" ht="30.6" customHeight="1" x14ac:dyDescent="0.2">
      <c r="A6" s="55"/>
      <c r="B6" s="67"/>
      <c r="C6" s="37"/>
      <c r="D6" s="56"/>
      <c r="E6" s="57"/>
      <c r="F6" s="68"/>
      <c r="G6" s="68"/>
      <c r="H6" s="68"/>
      <c r="J6" s="58" t="s">
        <v>39</v>
      </c>
      <c r="K6" s="58"/>
      <c r="L6" s="59" t="s">
        <v>41</v>
      </c>
      <c r="M6" s="59"/>
    </row>
    <row r="7" spans="1:15" s="7" customFormat="1" ht="36.6" customHeight="1" x14ac:dyDescent="0.25">
      <c r="A7" s="38" t="s">
        <v>3</v>
      </c>
      <c r="B7" s="38" t="s">
        <v>4</v>
      </c>
      <c r="C7" s="38" t="s">
        <v>42</v>
      </c>
      <c r="D7" s="38" t="s">
        <v>11</v>
      </c>
      <c r="E7" s="38" t="s">
        <v>12</v>
      </c>
      <c r="F7" s="38" t="s">
        <v>9</v>
      </c>
      <c r="G7" s="38" t="s">
        <v>10</v>
      </c>
      <c r="H7" s="39" t="s">
        <v>24</v>
      </c>
      <c r="J7" s="43" t="s">
        <v>40</v>
      </c>
      <c r="K7" s="44" t="s">
        <v>14</v>
      </c>
      <c r="L7" s="45" t="s">
        <v>40</v>
      </c>
      <c r="M7" s="46" t="s">
        <v>14</v>
      </c>
      <c r="N7" s="42" t="s">
        <v>25</v>
      </c>
      <c r="O7" s="42" t="s">
        <v>26</v>
      </c>
    </row>
    <row r="8" spans="1:15" ht="44.45" customHeight="1" x14ac:dyDescent="0.2">
      <c r="A8" s="36">
        <v>1</v>
      </c>
      <c r="B8" s="26" t="s">
        <v>77</v>
      </c>
      <c r="C8" s="27">
        <f>SUMIF(Data!E:E,B8,Data!F:F)</f>
        <v>42</v>
      </c>
      <c r="D8" s="28"/>
      <c r="E8" s="29" t="s">
        <v>14</v>
      </c>
      <c r="F8" s="30"/>
      <c r="G8" s="31"/>
      <c r="H8" s="32">
        <f>+G8-$D$6</f>
        <v>0</v>
      </c>
      <c r="J8" s="47">
        <f t="shared" ref="J8:J26" si="0">ROUNDDOWN((D8/C8),0)</f>
        <v>0</v>
      </c>
      <c r="K8" s="48">
        <f>SUMIF(Data!E:E,'มหาชัย(2)'!B8,Data!F:F)*J8</f>
        <v>0</v>
      </c>
      <c r="L8" s="49">
        <f t="shared" ref="L8:L26" si="1">ROUNDUP((M8/C8),0)</f>
        <v>0</v>
      </c>
      <c r="M8" s="50">
        <f t="shared" ref="M8:M26" si="2">D8-K8</f>
        <v>0</v>
      </c>
      <c r="N8" s="33">
        <f>INDEX(Data!C:C,MATCH(F4,Data!B:B,0))</f>
        <v>60</v>
      </c>
      <c r="O8" s="51">
        <f t="shared" ref="O8:O26" si="3">H8-N8</f>
        <v>-60</v>
      </c>
    </row>
    <row r="9" spans="1:15" ht="44.45" customHeight="1" x14ac:dyDescent="0.2">
      <c r="A9" s="36">
        <v>2</v>
      </c>
      <c r="B9" s="26" t="s">
        <v>66</v>
      </c>
      <c r="C9" s="27">
        <f>SUMIF(Data!E:E,B9,Data!F:F)</f>
        <v>36</v>
      </c>
      <c r="D9" s="28"/>
      <c r="E9" s="29" t="s">
        <v>14</v>
      </c>
      <c r="F9" s="30"/>
      <c r="G9" s="31"/>
      <c r="H9" s="32">
        <f t="shared" ref="H9:H26" si="4">+G9-$D$6</f>
        <v>0</v>
      </c>
      <c r="J9" s="47">
        <f t="shared" si="0"/>
        <v>0</v>
      </c>
      <c r="K9" s="48">
        <f>SUMIF(Data!E:E,'มหาชัย(2)'!B9,Data!F:F)*J9</f>
        <v>0</v>
      </c>
      <c r="L9" s="49">
        <f t="shared" si="1"/>
        <v>0</v>
      </c>
      <c r="M9" s="50">
        <f t="shared" si="2"/>
        <v>0</v>
      </c>
      <c r="N9" s="33" t="e">
        <f>INDEX(Data!C:C,MATCH(F5,Data!B:B,0))</f>
        <v>#N/A</v>
      </c>
      <c r="O9" s="51" t="e">
        <f t="shared" si="3"/>
        <v>#N/A</v>
      </c>
    </row>
    <row r="10" spans="1:15" ht="44.45" customHeight="1" x14ac:dyDescent="0.2">
      <c r="A10" s="36">
        <v>3</v>
      </c>
      <c r="B10" s="26" t="s">
        <v>79</v>
      </c>
      <c r="C10" s="27">
        <f>SUMIF(Data!E:E,B10,Data!F:F)</f>
        <v>42</v>
      </c>
      <c r="D10" s="28"/>
      <c r="E10" s="29" t="s">
        <v>14</v>
      </c>
      <c r="F10" s="30"/>
      <c r="G10" s="31"/>
      <c r="H10" s="32">
        <f t="shared" si="4"/>
        <v>0</v>
      </c>
      <c r="J10" s="47">
        <f t="shared" si="0"/>
        <v>0</v>
      </c>
      <c r="K10" s="48">
        <f>SUMIF(Data!E:E,'มหาชัย(2)'!B10,Data!F:F)*J10</f>
        <v>0</v>
      </c>
      <c r="L10" s="49">
        <f t="shared" si="1"/>
        <v>0</v>
      </c>
      <c r="M10" s="50">
        <f t="shared" si="2"/>
        <v>0</v>
      </c>
      <c r="N10" s="33" t="e">
        <f>INDEX(Data!C:C,MATCH(F6,Data!B:B,0))</f>
        <v>#N/A</v>
      </c>
      <c r="O10" s="51" t="e">
        <f t="shared" si="3"/>
        <v>#N/A</v>
      </c>
    </row>
    <row r="11" spans="1:15" ht="44.45" customHeight="1" x14ac:dyDescent="0.2">
      <c r="A11" s="36">
        <v>4</v>
      </c>
      <c r="B11" s="26" t="s">
        <v>80</v>
      </c>
      <c r="C11" s="27">
        <f>SUMIF(Data!E:E,B11,Data!F:F)</f>
        <v>50</v>
      </c>
      <c r="D11" s="28"/>
      <c r="E11" s="29" t="s">
        <v>14</v>
      </c>
      <c r="F11" s="30"/>
      <c r="G11" s="31"/>
      <c r="H11" s="32">
        <f t="shared" si="4"/>
        <v>0</v>
      </c>
      <c r="J11" s="47">
        <f t="shared" si="0"/>
        <v>0</v>
      </c>
      <c r="K11" s="48">
        <f>SUMIF(Data!E:E,'มหาชัย(2)'!B11,Data!F:F)*J11</f>
        <v>0</v>
      </c>
      <c r="L11" s="49">
        <f t="shared" si="1"/>
        <v>0</v>
      </c>
      <c r="M11" s="50">
        <f t="shared" si="2"/>
        <v>0</v>
      </c>
      <c r="N11" s="33" t="e">
        <f>INDEX(Data!C:C,MATCH(F7,Data!B:B,0))</f>
        <v>#N/A</v>
      </c>
      <c r="O11" s="51" t="e">
        <f t="shared" si="3"/>
        <v>#N/A</v>
      </c>
    </row>
    <row r="12" spans="1:15" ht="44.45" customHeight="1" x14ac:dyDescent="0.2">
      <c r="A12" s="36">
        <v>5</v>
      </c>
      <c r="B12" s="26" t="s">
        <v>71</v>
      </c>
      <c r="C12" s="27">
        <f>SUMIF(Data!E:E,B12,Data!F:F)</f>
        <v>81</v>
      </c>
      <c r="D12" s="28"/>
      <c r="E12" s="29" t="s">
        <v>14</v>
      </c>
      <c r="F12" s="30"/>
      <c r="G12" s="31"/>
      <c r="H12" s="32">
        <f t="shared" si="4"/>
        <v>0</v>
      </c>
      <c r="J12" s="47">
        <f t="shared" si="0"/>
        <v>0</v>
      </c>
      <c r="K12" s="48">
        <f>SUMIF(Data!E:E,'มหาชัย(2)'!B12,Data!F:F)*J12</f>
        <v>0</v>
      </c>
      <c r="L12" s="49">
        <f t="shared" si="1"/>
        <v>0</v>
      </c>
      <c r="M12" s="50">
        <f t="shared" si="2"/>
        <v>0</v>
      </c>
      <c r="N12" s="33" t="e">
        <f>INDEX(Data!C:C,MATCH(F8,Data!B:B,0))</f>
        <v>#N/A</v>
      </c>
      <c r="O12" s="51" t="e">
        <f t="shared" si="3"/>
        <v>#N/A</v>
      </c>
    </row>
    <row r="13" spans="1:15" ht="44.45" customHeight="1" x14ac:dyDescent="0.2">
      <c r="A13" s="36">
        <v>6</v>
      </c>
      <c r="B13" s="26" t="s">
        <v>84</v>
      </c>
      <c r="C13" s="27">
        <f>SUMIF(Data!E:E,B13,Data!F:F)</f>
        <v>42</v>
      </c>
      <c r="D13" s="28"/>
      <c r="E13" s="29" t="s">
        <v>14</v>
      </c>
      <c r="F13" s="30"/>
      <c r="G13" s="31"/>
      <c r="H13" s="32">
        <f t="shared" si="4"/>
        <v>0</v>
      </c>
      <c r="J13" s="47">
        <f t="shared" si="0"/>
        <v>0</v>
      </c>
      <c r="K13" s="48">
        <f>SUMIF(Data!E:E,'มหาชัย(2)'!B13,Data!F:F)*J13</f>
        <v>0</v>
      </c>
      <c r="L13" s="49">
        <f t="shared" si="1"/>
        <v>0</v>
      </c>
      <c r="M13" s="50">
        <f t="shared" si="2"/>
        <v>0</v>
      </c>
      <c r="N13" s="33" t="e">
        <f>INDEX(Data!C:C,MATCH(F9,Data!B:B,0))</f>
        <v>#N/A</v>
      </c>
      <c r="O13" s="51" t="e">
        <f t="shared" si="3"/>
        <v>#N/A</v>
      </c>
    </row>
    <row r="14" spans="1:15" ht="44.45" customHeight="1" x14ac:dyDescent="0.2">
      <c r="A14" s="36">
        <v>7</v>
      </c>
      <c r="B14" s="26" t="s">
        <v>85</v>
      </c>
      <c r="C14" s="27">
        <f>SUMIF(Data!E:E,B14,Data!F:F)</f>
        <v>32</v>
      </c>
      <c r="D14" s="28"/>
      <c r="E14" s="29" t="s">
        <v>14</v>
      </c>
      <c r="F14" s="30"/>
      <c r="G14" s="31"/>
      <c r="H14" s="32">
        <f t="shared" si="4"/>
        <v>0</v>
      </c>
      <c r="J14" s="47">
        <f t="shared" si="0"/>
        <v>0</v>
      </c>
      <c r="K14" s="48">
        <f>SUMIF(Data!E:E,'มหาชัย(2)'!B14,Data!F:F)*J14</f>
        <v>0</v>
      </c>
      <c r="L14" s="49">
        <f t="shared" si="1"/>
        <v>0</v>
      </c>
      <c r="M14" s="50">
        <f t="shared" si="2"/>
        <v>0</v>
      </c>
      <c r="N14" s="33" t="e">
        <f>INDEX(Data!C:C,MATCH(F10,Data!B:B,0))</f>
        <v>#N/A</v>
      </c>
      <c r="O14" s="51" t="e">
        <f t="shared" si="3"/>
        <v>#N/A</v>
      </c>
    </row>
    <row r="15" spans="1:15" ht="44.45" customHeight="1" x14ac:dyDescent="0.2">
      <c r="A15" s="36">
        <v>8</v>
      </c>
      <c r="B15" s="26" t="s">
        <v>76</v>
      </c>
      <c r="C15" s="27">
        <f>SUMIF(Data!E:E,B15,Data!F:F)</f>
        <v>70</v>
      </c>
      <c r="D15" s="28"/>
      <c r="E15" s="29" t="s">
        <v>14</v>
      </c>
      <c r="F15" s="30"/>
      <c r="G15" s="31"/>
      <c r="H15" s="32">
        <f t="shared" si="4"/>
        <v>0</v>
      </c>
      <c r="J15" s="47">
        <f t="shared" si="0"/>
        <v>0</v>
      </c>
      <c r="K15" s="48">
        <f>SUMIF(Data!E:E,'มหาชัย(2)'!B15,Data!F:F)*J15</f>
        <v>0</v>
      </c>
      <c r="L15" s="49">
        <f t="shared" si="1"/>
        <v>0</v>
      </c>
      <c r="M15" s="50">
        <f t="shared" si="2"/>
        <v>0</v>
      </c>
      <c r="N15" s="33" t="e">
        <f>INDEX(Data!C:C,MATCH(F11,Data!B:B,0))</f>
        <v>#N/A</v>
      </c>
      <c r="O15" s="51" t="e">
        <f t="shared" si="3"/>
        <v>#N/A</v>
      </c>
    </row>
    <row r="16" spans="1:15" ht="44.45" customHeight="1" x14ac:dyDescent="0.2">
      <c r="A16" s="36">
        <v>9</v>
      </c>
      <c r="B16" s="26" t="s">
        <v>89</v>
      </c>
      <c r="C16" s="27">
        <f>SUMIF(Data!E:E,B16,Data!F:F)</f>
        <v>45</v>
      </c>
      <c r="D16" s="28"/>
      <c r="E16" s="29" t="s">
        <v>14</v>
      </c>
      <c r="F16" s="30"/>
      <c r="G16" s="31"/>
      <c r="H16" s="32">
        <f t="shared" si="4"/>
        <v>0</v>
      </c>
      <c r="J16" s="47">
        <f t="shared" si="0"/>
        <v>0</v>
      </c>
      <c r="K16" s="48">
        <f>SUMIF(Data!E:E,'มหาชัย(2)'!B16,Data!F:F)*J16</f>
        <v>0</v>
      </c>
      <c r="L16" s="49">
        <f t="shared" si="1"/>
        <v>0</v>
      </c>
      <c r="M16" s="50">
        <f t="shared" si="2"/>
        <v>0</v>
      </c>
      <c r="N16" s="33" t="e">
        <f>INDEX(Data!C:C,MATCH(F12,Data!B:B,0))</f>
        <v>#N/A</v>
      </c>
      <c r="O16" s="51" t="e">
        <f t="shared" si="3"/>
        <v>#N/A</v>
      </c>
    </row>
    <row r="17" spans="1:15" ht="44.45" customHeight="1" x14ac:dyDescent="0.2">
      <c r="A17" s="36">
        <v>10</v>
      </c>
      <c r="B17" s="26" t="s">
        <v>88</v>
      </c>
      <c r="C17" s="27">
        <f>SUMIF(Data!E:E,B17,Data!F:F)</f>
        <v>48</v>
      </c>
      <c r="D17" s="28"/>
      <c r="E17" s="29" t="s">
        <v>14</v>
      </c>
      <c r="F17" s="30"/>
      <c r="G17" s="31"/>
      <c r="H17" s="32">
        <f t="shared" si="4"/>
        <v>0</v>
      </c>
      <c r="J17" s="47">
        <f t="shared" si="0"/>
        <v>0</v>
      </c>
      <c r="K17" s="48">
        <f>SUMIF(Data!E:E,'มหาชัย(2)'!B17,Data!F:F)*J17</f>
        <v>0</v>
      </c>
      <c r="L17" s="49">
        <f t="shared" si="1"/>
        <v>0</v>
      </c>
      <c r="M17" s="50">
        <f t="shared" si="2"/>
        <v>0</v>
      </c>
      <c r="N17" s="33" t="e">
        <f>INDEX(Data!C:C,MATCH(F13,Data!B:B,0))</f>
        <v>#N/A</v>
      </c>
      <c r="O17" s="51" t="e">
        <f t="shared" si="3"/>
        <v>#N/A</v>
      </c>
    </row>
    <row r="18" spans="1:15" ht="44.45" customHeight="1" x14ac:dyDescent="0.2">
      <c r="A18" s="36">
        <v>11</v>
      </c>
      <c r="B18" s="26" t="s">
        <v>87</v>
      </c>
      <c r="C18" s="27">
        <f>SUMIF(Data!E:E,B18,Data!F:F)</f>
        <v>48</v>
      </c>
      <c r="D18" s="28"/>
      <c r="E18" s="29" t="s">
        <v>14</v>
      </c>
      <c r="F18" s="30"/>
      <c r="G18" s="31"/>
      <c r="H18" s="32">
        <f t="shared" si="4"/>
        <v>0</v>
      </c>
      <c r="J18" s="47">
        <f t="shared" si="0"/>
        <v>0</v>
      </c>
      <c r="K18" s="48">
        <f>SUMIF(Data!E:E,'มหาชัย(2)'!B18,Data!F:F)*J18</f>
        <v>0</v>
      </c>
      <c r="L18" s="49">
        <f t="shared" si="1"/>
        <v>0</v>
      </c>
      <c r="M18" s="50">
        <f t="shared" si="2"/>
        <v>0</v>
      </c>
      <c r="N18" s="33" t="e">
        <f>INDEX(Data!C:C,MATCH(F14,Data!B:B,0))</f>
        <v>#N/A</v>
      </c>
      <c r="O18" s="51" t="e">
        <f t="shared" si="3"/>
        <v>#N/A</v>
      </c>
    </row>
    <row r="19" spans="1:15" ht="44.45" customHeight="1" x14ac:dyDescent="0.2">
      <c r="A19" s="36">
        <v>12</v>
      </c>
      <c r="B19" s="26" t="s">
        <v>90</v>
      </c>
      <c r="C19" s="27">
        <f>SUMIF(Data!E:E,B19,Data!F:F)</f>
        <v>60</v>
      </c>
      <c r="D19" s="28"/>
      <c r="E19" s="29" t="s">
        <v>14</v>
      </c>
      <c r="F19" s="30"/>
      <c r="G19" s="31"/>
      <c r="H19" s="32">
        <f t="shared" si="4"/>
        <v>0</v>
      </c>
      <c r="J19" s="47">
        <f t="shared" si="0"/>
        <v>0</v>
      </c>
      <c r="K19" s="48">
        <f>SUMIF(Data!E:E,'มหาชัย(2)'!B19,Data!F:F)*J19</f>
        <v>0</v>
      </c>
      <c r="L19" s="49">
        <f t="shared" si="1"/>
        <v>0</v>
      </c>
      <c r="M19" s="50">
        <f t="shared" si="2"/>
        <v>0</v>
      </c>
      <c r="N19" s="33" t="e">
        <f>INDEX(Data!C:C,MATCH(F15,Data!B:B,0))</f>
        <v>#N/A</v>
      </c>
      <c r="O19" s="51" t="e">
        <f t="shared" si="3"/>
        <v>#N/A</v>
      </c>
    </row>
    <row r="20" spans="1:15" ht="44.45" customHeight="1" x14ac:dyDescent="0.2">
      <c r="A20" s="36">
        <v>13</v>
      </c>
      <c r="B20" s="26" t="s">
        <v>91</v>
      </c>
      <c r="C20" s="27">
        <f>SUMIF(Data!E:E,B20,Data!F:F)</f>
        <v>50</v>
      </c>
      <c r="D20" s="28"/>
      <c r="E20" s="29" t="s">
        <v>14</v>
      </c>
      <c r="F20" s="30"/>
      <c r="G20" s="31"/>
      <c r="H20" s="32">
        <f t="shared" si="4"/>
        <v>0</v>
      </c>
      <c r="J20" s="47">
        <f t="shared" si="0"/>
        <v>0</v>
      </c>
      <c r="K20" s="48">
        <f>SUMIF(Data!E:E,'มหาชัย(2)'!B20,Data!F:F)*J20</f>
        <v>0</v>
      </c>
      <c r="L20" s="49">
        <f t="shared" si="1"/>
        <v>0</v>
      </c>
      <c r="M20" s="50">
        <f t="shared" si="2"/>
        <v>0</v>
      </c>
      <c r="N20" s="33" t="e">
        <f>INDEX(Data!C:C,MATCH(F16,Data!B:B,0))</f>
        <v>#N/A</v>
      </c>
      <c r="O20" s="51" t="e">
        <f t="shared" si="3"/>
        <v>#N/A</v>
      </c>
    </row>
    <row r="21" spans="1:15" ht="44.45" customHeight="1" x14ac:dyDescent="0.2">
      <c r="A21" s="36">
        <v>14</v>
      </c>
      <c r="B21" s="26" t="s">
        <v>93</v>
      </c>
      <c r="C21" s="27">
        <f>SUMIF(Data!E:E,B21,Data!F:F)</f>
        <v>60</v>
      </c>
      <c r="D21" s="28"/>
      <c r="E21" s="29" t="s">
        <v>14</v>
      </c>
      <c r="F21" s="30"/>
      <c r="G21" s="31"/>
      <c r="H21" s="32">
        <f t="shared" si="4"/>
        <v>0</v>
      </c>
      <c r="J21" s="47">
        <f t="shared" si="0"/>
        <v>0</v>
      </c>
      <c r="K21" s="48">
        <f>SUMIF(Data!E:E,'มหาชัย(2)'!B21,Data!F:F)*J21</f>
        <v>0</v>
      </c>
      <c r="L21" s="49">
        <f t="shared" si="1"/>
        <v>0</v>
      </c>
      <c r="M21" s="50">
        <f t="shared" si="2"/>
        <v>0</v>
      </c>
      <c r="N21" s="33" t="e">
        <f>INDEX(Data!C:C,MATCH(F17,Data!B:B,0))</f>
        <v>#N/A</v>
      </c>
      <c r="O21" s="51" t="e">
        <f t="shared" si="3"/>
        <v>#N/A</v>
      </c>
    </row>
    <row r="22" spans="1:15" ht="44.45" customHeight="1" x14ac:dyDescent="0.2">
      <c r="A22" s="36">
        <v>15</v>
      </c>
      <c r="B22" s="26" t="s">
        <v>94</v>
      </c>
      <c r="C22" s="27">
        <f>SUMIF(Data!E:E,B22,Data!F:F)</f>
        <v>55</v>
      </c>
      <c r="D22" s="28"/>
      <c r="E22" s="29" t="s">
        <v>14</v>
      </c>
      <c r="F22" s="30"/>
      <c r="G22" s="31"/>
      <c r="H22" s="32">
        <f t="shared" si="4"/>
        <v>0</v>
      </c>
      <c r="J22" s="47">
        <f t="shared" si="0"/>
        <v>0</v>
      </c>
      <c r="K22" s="48">
        <f>SUMIF(Data!E:E,'มหาชัย(2)'!B22,Data!F:F)*J22</f>
        <v>0</v>
      </c>
      <c r="L22" s="49">
        <f t="shared" si="1"/>
        <v>0</v>
      </c>
      <c r="M22" s="50">
        <f t="shared" si="2"/>
        <v>0</v>
      </c>
      <c r="N22" s="33" t="e">
        <f>INDEX(Data!C:C,MATCH(F18,Data!B:B,0))</f>
        <v>#N/A</v>
      </c>
      <c r="O22" s="51" t="e">
        <f t="shared" si="3"/>
        <v>#N/A</v>
      </c>
    </row>
    <row r="23" spans="1:15" ht="44.45" customHeight="1" x14ac:dyDescent="0.2">
      <c r="A23" s="36">
        <v>16</v>
      </c>
      <c r="B23" s="26" t="s">
        <v>95</v>
      </c>
      <c r="C23" s="27">
        <f>SUMIF(Data!E:E,B23,Data!F:F)</f>
        <v>50</v>
      </c>
      <c r="D23" s="28"/>
      <c r="E23" s="29" t="s">
        <v>14</v>
      </c>
      <c r="F23" s="30"/>
      <c r="G23" s="31"/>
      <c r="H23" s="32">
        <f t="shared" si="4"/>
        <v>0</v>
      </c>
      <c r="J23" s="47">
        <f t="shared" si="0"/>
        <v>0</v>
      </c>
      <c r="K23" s="48">
        <f>SUMIF(Data!E:E,'มหาชัย(2)'!B23,Data!F:F)*J23</f>
        <v>0</v>
      </c>
      <c r="L23" s="49">
        <f t="shared" si="1"/>
        <v>0</v>
      </c>
      <c r="M23" s="50">
        <f t="shared" si="2"/>
        <v>0</v>
      </c>
      <c r="N23" s="33" t="e">
        <f>INDEX(Data!C:C,MATCH(F19,Data!B:B,0))</f>
        <v>#N/A</v>
      </c>
      <c r="O23" s="51" t="e">
        <f t="shared" si="3"/>
        <v>#N/A</v>
      </c>
    </row>
    <row r="24" spans="1:15" ht="44.45" customHeight="1" x14ac:dyDescent="0.2">
      <c r="A24" s="36">
        <v>17</v>
      </c>
      <c r="B24" s="26" t="s">
        <v>98</v>
      </c>
      <c r="C24" s="27">
        <f>SUMIF(Data!E:E,B24,Data!F:F)</f>
        <v>55</v>
      </c>
      <c r="D24" s="28"/>
      <c r="E24" s="29" t="s">
        <v>14</v>
      </c>
      <c r="F24" s="30"/>
      <c r="G24" s="31"/>
      <c r="H24" s="32">
        <f t="shared" si="4"/>
        <v>0</v>
      </c>
      <c r="J24" s="47">
        <f t="shared" si="0"/>
        <v>0</v>
      </c>
      <c r="K24" s="48">
        <f>SUMIF(Data!E:E,'มหาชัย(2)'!B24,Data!F:F)*J24</f>
        <v>0</v>
      </c>
      <c r="L24" s="49">
        <f t="shared" si="1"/>
        <v>0</v>
      </c>
      <c r="M24" s="50">
        <f t="shared" si="2"/>
        <v>0</v>
      </c>
      <c r="N24" s="33" t="e">
        <f>INDEX(Data!C:C,MATCH(F20,Data!B:B,0))</f>
        <v>#N/A</v>
      </c>
      <c r="O24" s="51" t="e">
        <f t="shared" si="3"/>
        <v>#N/A</v>
      </c>
    </row>
    <row r="25" spans="1:15" ht="44.45" customHeight="1" x14ac:dyDescent="0.2">
      <c r="A25" s="36">
        <v>18</v>
      </c>
      <c r="B25" s="26" t="s">
        <v>99</v>
      </c>
      <c r="C25" s="27">
        <f>SUMIF(Data!E:E,B25,Data!F:F)</f>
        <v>55</v>
      </c>
      <c r="D25" s="28"/>
      <c r="E25" s="29" t="s">
        <v>14</v>
      </c>
      <c r="F25" s="30"/>
      <c r="G25" s="31"/>
      <c r="H25" s="32">
        <f t="shared" si="4"/>
        <v>0</v>
      </c>
      <c r="J25" s="47">
        <f t="shared" si="0"/>
        <v>0</v>
      </c>
      <c r="K25" s="48">
        <f>SUMIF(Data!E:E,'มหาชัย(2)'!B25,Data!F:F)*J25</f>
        <v>0</v>
      </c>
      <c r="L25" s="49">
        <f t="shared" si="1"/>
        <v>0</v>
      </c>
      <c r="M25" s="50">
        <f t="shared" si="2"/>
        <v>0</v>
      </c>
      <c r="N25" s="33" t="e">
        <f>INDEX(Data!C:C,MATCH(F21,Data!B:B,0))</f>
        <v>#N/A</v>
      </c>
      <c r="O25" s="51" t="e">
        <f t="shared" si="3"/>
        <v>#N/A</v>
      </c>
    </row>
    <row r="26" spans="1:15" ht="44.45" customHeight="1" x14ac:dyDescent="0.2">
      <c r="A26" s="36">
        <v>19</v>
      </c>
      <c r="B26" s="26" t="s">
        <v>100</v>
      </c>
      <c r="C26" s="27">
        <f>SUMIF(Data!E:E,B26,Data!F:F)</f>
        <v>81</v>
      </c>
      <c r="D26" s="28"/>
      <c r="E26" s="29" t="s">
        <v>14</v>
      </c>
      <c r="F26" s="30"/>
      <c r="G26" s="31"/>
      <c r="H26" s="32">
        <f t="shared" si="4"/>
        <v>0</v>
      </c>
      <c r="J26" s="47">
        <f t="shared" si="0"/>
        <v>0</v>
      </c>
      <c r="K26" s="48">
        <f>SUMIF(Data!E:E,'มหาชัย(2)'!B26,Data!F:F)*J26</f>
        <v>0</v>
      </c>
      <c r="L26" s="49">
        <f t="shared" si="1"/>
        <v>0</v>
      </c>
      <c r="M26" s="50">
        <f t="shared" si="2"/>
        <v>0</v>
      </c>
      <c r="N26" s="33" t="e">
        <f>INDEX(Data!C:C,MATCH(F22,Data!B:B,0))</f>
        <v>#N/A</v>
      </c>
      <c r="O26" s="51" t="e">
        <f t="shared" si="3"/>
        <v>#N/A</v>
      </c>
    </row>
    <row r="27" spans="1:15" ht="54.6" customHeight="1" x14ac:dyDescent="0.2">
      <c r="A27" s="60" t="s">
        <v>5</v>
      </c>
      <c r="B27" s="60"/>
      <c r="C27" s="40"/>
      <c r="D27" s="41"/>
      <c r="E27" s="42"/>
      <c r="F27" s="42"/>
      <c r="G27" s="42"/>
      <c r="H27" s="1"/>
      <c r="J27" s="14" t="s">
        <v>39</v>
      </c>
      <c r="K27" s="14" t="s">
        <v>41</v>
      </c>
      <c r="L27" s="14" t="s">
        <v>57</v>
      </c>
    </row>
    <row r="28" spans="1:15" ht="20.100000000000001" customHeight="1" x14ac:dyDescent="0.2">
      <c r="J28" s="13">
        <f>SUM($J$8:$J$26)</f>
        <v>0</v>
      </c>
      <c r="K28" s="13">
        <f>SUM($L$8:$L$26)</f>
        <v>0</v>
      </c>
      <c r="L28" s="13">
        <f>SUM(J28:K28)</f>
        <v>0</v>
      </c>
    </row>
    <row r="29" spans="1:15" ht="20.100000000000001" customHeight="1" x14ac:dyDescent="0.2">
      <c r="L29" s="13"/>
    </row>
    <row r="30" spans="1:15" ht="61.5" customHeight="1" x14ac:dyDescent="0.25">
      <c r="A30" s="8"/>
      <c r="B30" s="9" t="s">
        <v>29</v>
      </c>
      <c r="C30" s="9"/>
      <c r="G30" s="8" t="s">
        <v>31</v>
      </c>
      <c r="K30" s="11"/>
      <c r="L30" s="8"/>
      <c r="N30" s="8"/>
      <c r="O30" s="8"/>
    </row>
    <row r="31" spans="1:15" ht="61.5" customHeight="1" x14ac:dyDescent="0.25">
      <c r="A31" s="8"/>
      <c r="B31" s="8" t="s">
        <v>28</v>
      </c>
      <c r="C31" s="8"/>
      <c r="F31" s="8"/>
      <c r="G31" s="8" t="s">
        <v>32</v>
      </c>
      <c r="H31" s="8"/>
      <c r="K31" s="11"/>
      <c r="L31" s="8"/>
      <c r="N31" s="8"/>
      <c r="O31" s="8"/>
    </row>
    <row r="32" spans="1:15" ht="61.5" customHeight="1" x14ac:dyDescent="0.25">
      <c r="A32" s="8"/>
      <c r="B32" s="8" t="s">
        <v>30</v>
      </c>
      <c r="C32" s="8"/>
      <c r="F32" s="8"/>
      <c r="G32" s="8" t="s">
        <v>33</v>
      </c>
      <c r="H32" s="9"/>
      <c r="J32" s="11"/>
      <c r="L32" s="9"/>
      <c r="N32" s="9"/>
      <c r="O32" s="9"/>
    </row>
    <row r="33" ht="20.100000000000001" customHeight="1" x14ac:dyDescent="0.2"/>
    <row r="34" ht="20.100000000000001" customHeight="1" x14ac:dyDescent="0.2"/>
    <row r="35" ht="20.100000000000001" customHeight="1" x14ac:dyDescent="0.2"/>
    <row r="36" ht="20.100000000000001" customHeight="1" x14ac:dyDescent="0.2"/>
    <row r="37" ht="20.100000000000001" customHeight="1" x14ac:dyDescent="0.2"/>
    <row r="38" ht="20.100000000000001" customHeight="1" x14ac:dyDescent="0.2"/>
    <row r="39" ht="20.100000000000001" customHeight="1" x14ac:dyDescent="0.2"/>
    <row r="40" ht="20.100000000000001" customHeight="1" x14ac:dyDescent="0.2"/>
    <row r="41" ht="20.100000000000001" customHeight="1" x14ac:dyDescent="0.2"/>
  </sheetData>
  <mergeCells count="13">
    <mergeCell ref="A1:F2"/>
    <mergeCell ref="A3:H3"/>
    <mergeCell ref="D4:E4"/>
    <mergeCell ref="F4:H4"/>
    <mergeCell ref="A5:A6"/>
    <mergeCell ref="B5:B6"/>
    <mergeCell ref="D5:E5"/>
    <mergeCell ref="F5:H6"/>
    <mergeCell ref="J5:M5"/>
    <mergeCell ref="D6:E6"/>
    <mergeCell ref="J6:K6"/>
    <mergeCell ref="L6:M6"/>
    <mergeCell ref="A27:B27"/>
  </mergeCells>
  <conditionalFormatting sqref="H8:H26">
    <cfRule type="cellIs" dxfId="113" priority="5" operator="lessThan">
      <formula>-1</formula>
    </cfRule>
    <cfRule type="cellIs" dxfId="112" priority="6" operator="equal">
      <formula>"-"</formula>
    </cfRule>
  </conditionalFormatting>
  <conditionalFormatting sqref="J8:O26">
    <cfRule type="containsErrors" dxfId="111" priority="4">
      <formula>ISERROR(J8)</formula>
    </cfRule>
  </conditionalFormatting>
  <conditionalFormatting sqref="O8:O26">
    <cfRule type="cellIs" dxfId="110" priority="1" operator="lessThan">
      <formula>0</formula>
    </cfRule>
    <cfRule type="cellIs" dxfId="109" priority="2" operator="greaterThan">
      <formula>15</formula>
    </cfRule>
    <cfRule type="cellIs" dxfId="108" priority="3" operator="lessThan">
      <formula>16</formula>
    </cfRule>
  </conditionalFormatting>
  <pageMargins left="0.7" right="0.7" top="0.75" bottom="0.75" header="0.3" footer="0.3"/>
  <pageSetup paperSize="9" scale="38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B5AE682-4F88-4D55-ABF8-DCBA47171B9B}">
          <x14:formula1>
            <xm:f>Data!$B$2:$B$22</xm:f>
          </x14:formula1>
          <xm:sqref>F4</xm:sqref>
        </x14:dataValidation>
        <x14:dataValidation type="list" allowBlank="1" showInputMessage="1" showErrorMessage="1" xr:uid="{1E9F1B4A-4086-49E3-9FB5-06F269ECF5F5}">
          <x14:formula1>
            <xm:f>Data!$G$2:$G$6</xm:f>
          </x14:formula1>
          <xm:sqref>E8:E26</xm:sqref>
        </x14:dataValidation>
        <x14:dataValidation type="list" allowBlank="1" showInputMessage="1" showErrorMessage="1" xr:uid="{BA854815-CB7C-40F0-AEC5-070BBAFB19FC}">
          <x14:formula1>
            <xm:f>Data!$E$2:$E$37</xm:f>
          </x14:formula1>
          <xm:sqref>B8:B26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359C2-9787-4395-9EFD-8FECF14D3BFC}">
  <sheetPr>
    <tabColor rgb="FF92D050"/>
    <pageSetUpPr fitToPage="1"/>
  </sheetPr>
  <dimension ref="A1:O41"/>
  <sheetViews>
    <sheetView topLeftCell="A7" zoomScale="55" zoomScaleNormal="55" zoomScaleSheetLayoutView="50" workbookViewId="0">
      <selection activeCell="D25" sqref="D25"/>
    </sheetView>
  </sheetViews>
  <sheetFormatPr defaultRowHeight="14.25" x14ac:dyDescent="0.2"/>
  <cols>
    <col min="2" max="2" width="60.875" customWidth="1"/>
    <col min="3" max="3" width="9.375" customWidth="1"/>
    <col min="4" max="4" width="19.625" customWidth="1"/>
    <col min="5" max="5" width="10.375" customWidth="1"/>
    <col min="6" max="7" width="22.125" customWidth="1"/>
    <col min="8" max="8" width="20.875" customWidth="1"/>
    <col min="9" max="9" width="1.875" customWidth="1"/>
    <col min="10" max="13" width="13.875" customWidth="1"/>
    <col min="14" max="14" width="8.75" customWidth="1"/>
    <col min="15" max="15" width="18.125" customWidth="1"/>
  </cols>
  <sheetData>
    <row r="1" spans="1:15" ht="39.6" customHeight="1" x14ac:dyDescent="0.2">
      <c r="A1" s="61" t="s">
        <v>19</v>
      </c>
      <c r="B1" s="61"/>
      <c r="C1" s="61"/>
      <c r="D1" s="61"/>
      <c r="E1" s="61"/>
      <c r="F1" s="61"/>
      <c r="G1" s="6" t="s">
        <v>17</v>
      </c>
      <c r="H1" s="5" t="s">
        <v>58</v>
      </c>
    </row>
    <row r="2" spans="1:15" ht="40.5" customHeight="1" thickBot="1" x14ac:dyDescent="0.25">
      <c r="A2" s="62"/>
      <c r="B2" s="62"/>
      <c r="C2" s="62"/>
      <c r="D2" s="62"/>
      <c r="E2" s="62"/>
      <c r="F2" s="62"/>
      <c r="G2" s="6" t="s">
        <v>27</v>
      </c>
      <c r="H2" s="15"/>
    </row>
    <row r="3" spans="1:15" ht="48.6" customHeight="1" x14ac:dyDescent="0.2">
      <c r="A3" s="63" t="s">
        <v>1</v>
      </c>
      <c r="B3" s="64"/>
      <c r="C3" s="64"/>
      <c r="D3" s="64"/>
      <c r="E3" s="64"/>
      <c r="F3" s="64"/>
      <c r="G3" s="64"/>
      <c r="H3" s="65"/>
    </row>
    <row r="4" spans="1:15" ht="54.95" customHeight="1" x14ac:dyDescent="0.2">
      <c r="A4" s="33" t="s">
        <v>0</v>
      </c>
      <c r="B4" s="34" t="s">
        <v>21</v>
      </c>
      <c r="C4" s="35"/>
      <c r="D4" s="66" t="s">
        <v>6</v>
      </c>
      <c r="E4" s="66"/>
      <c r="F4" s="57" t="s">
        <v>55</v>
      </c>
      <c r="G4" s="57"/>
      <c r="H4" s="57"/>
    </row>
    <row r="5" spans="1:15" ht="30.95" customHeight="1" x14ac:dyDescent="0.2">
      <c r="A5" s="55" t="s">
        <v>2</v>
      </c>
      <c r="B5" s="67"/>
      <c r="C5" s="37"/>
      <c r="D5" s="55" t="s">
        <v>18</v>
      </c>
      <c r="E5" s="55"/>
      <c r="F5" s="68"/>
      <c r="G5" s="68"/>
      <c r="H5" s="68"/>
      <c r="J5" s="55" t="s">
        <v>38</v>
      </c>
      <c r="K5" s="55"/>
      <c r="L5" s="55"/>
      <c r="M5" s="55"/>
    </row>
    <row r="6" spans="1:15" ht="30.6" customHeight="1" x14ac:dyDescent="0.2">
      <c r="A6" s="55"/>
      <c r="B6" s="67"/>
      <c r="C6" s="37"/>
      <c r="D6" s="56"/>
      <c r="E6" s="57"/>
      <c r="F6" s="68"/>
      <c r="G6" s="68"/>
      <c r="H6" s="68"/>
      <c r="J6" s="58" t="s">
        <v>39</v>
      </c>
      <c r="K6" s="58"/>
      <c r="L6" s="59" t="s">
        <v>41</v>
      </c>
      <c r="M6" s="59"/>
    </row>
    <row r="7" spans="1:15" s="7" customFormat="1" ht="36.6" customHeight="1" x14ac:dyDescent="0.25">
      <c r="A7" s="38" t="s">
        <v>3</v>
      </c>
      <c r="B7" s="38" t="s">
        <v>4</v>
      </c>
      <c r="C7" s="38" t="s">
        <v>42</v>
      </c>
      <c r="D7" s="38" t="s">
        <v>11</v>
      </c>
      <c r="E7" s="38" t="s">
        <v>12</v>
      </c>
      <c r="F7" s="38" t="s">
        <v>9</v>
      </c>
      <c r="G7" s="38" t="s">
        <v>10</v>
      </c>
      <c r="H7" s="39" t="s">
        <v>24</v>
      </c>
      <c r="J7" s="43" t="s">
        <v>40</v>
      </c>
      <c r="K7" s="44" t="s">
        <v>14</v>
      </c>
      <c r="L7" s="45" t="s">
        <v>40</v>
      </c>
      <c r="M7" s="46" t="s">
        <v>14</v>
      </c>
      <c r="N7" s="42" t="s">
        <v>25</v>
      </c>
      <c r="O7" s="42" t="s">
        <v>26</v>
      </c>
    </row>
    <row r="8" spans="1:15" ht="44.45" customHeight="1" x14ac:dyDescent="0.2">
      <c r="A8" s="36">
        <v>1</v>
      </c>
      <c r="B8" s="26" t="s">
        <v>77</v>
      </c>
      <c r="C8" s="27">
        <f>SUMIF(Data!E:E,B8,Data!F:F)</f>
        <v>42</v>
      </c>
      <c r="D8" s="28"/>
      <c r="E8" s="29" t="s">
        <v>14</v>
      </c>
      <c r="F8" s="30"/>
      <c r="G8" s="31"/>
      <c r="H8" s="32">
        <f>+G8-$D$6</f>
        <v>0</v>
      </c>
      <c r="J8" s="47">
        <f t="shared" ref="J8:J26" si="0">ROUNDDOWN((D8/C8),0)</f>
        <v>0</v>
      </c>
      <c r="K8" s="48">
        <f>SUMIF(Data!E:E,'มหาชัย(2)'!B8,Data!F:F)*J8</f>
        <v>0</v>
      </c>
      <c r="L8" s="49">
        <f t="shared" ref="L8:L26" si="1">ROUNDUP((M8/C8),0)</f>
        <v>0</v>
      </c>
      <c r="M8" s="50">
        <f t="shared" ref="M8:M26" si="2">D8-K8</f>
        <v>0</v>
      </c>
      <c r="N8" s="33">
        <f>INDEX(Data!C:C,MATCH(F4,Data!B:B,0))</f>
        <v>60</v>
      </c>
      <c r="O8" s="51">
        <f t="shared" ref="O8:O26" si="3">H8-N8</f>
        <v>-60</v>
      </c>
    </row>
    <row r="9" spans="1:15" ht="44.45" customHeight="1" x14ac:dyDescent="0.2">
      <c r="A9" s="36">
        <v>2</v>
      </c>
      <c r="B9" s="26" t="s">
        <v>66</v>
      </c>
      <c r="C9" s="27">
        <f>SUMIF(Data!E:E,B9,Data!F:F)</f>
        <v>36</v>
      </c>
      <c r="D9" s="28"/>
      <c r="E9" s="29" t="s">
        <v>14</v>
      </c>
      <c r="F9" s="30"/>
      <c r="G9" s="31"/>
      <c r="H9" s="32">
        <f t="shared" ref="H9:H26" si="4">+G9-$D$6</f>
        <v>0</v>
      </c>
      <c r="J9" s="47">
        <f t="shared" si="0"/>
        <v>0</v>
      </c>
      <c r="K9" s="48">
        <f>SUMIF(Data!E:E,'มหาชัย(2)'!B9,Data!F:F)*J9</f>
        <v>0</v>
      </c>
      <c r="L9" s="49">
        <f t="shared" si="1"/>
        <v>0</v>
      </c>
      <c r="M9" s="50">
        <f t="shared" si="2"/>
        <v>0</v>
      </c>
      <c r="N9" s="33" t="e">
        <f>INDEX(Data!C:C,MATCH(F5,Data!B:B,0))</f>
        <v>#N/A</v>
      </c>
      <c r="O9" s="51" t="e">
        <f t="shared" si="3"/>
        <v>#N/A</v>
      </c>
    </row>
    <row r="10" spans="1:15" ht="44.45" customHeight="1" x14ac:dyDescent="0.2">
      <c r="A10" s="36">
        <v>3</v>
      </c>
      <c r="B10" s="26" t="s">
        <v>79</v>
      </c>
      <c r="C10" s="27">
        <f>SUMIF(Data!E:E,B10,Data!F:F)</f>
        <v>42</v>
      </c>
      <c r="D10" s="28"/>
      <c r="E10" s="29" t="s">
        <v>14</v>
      </c>
      <c r="F10" s="30"/>
      <c r="G10" s="31"/>
      <c r="H10" s="32">
        <f t="shared" si="4"/>
        <v>0</v>
      </c>
      <c r="J10" s="47">
        <f t="shared" si="0"/>
        <v>0</v>
      </c>
      <c r="K10" s="48">
        <f>SUMIF(Data!E:E,'มหาชัย(2)'!B10,Data!F:F)*J10</f>
        <v>0</v>
      </c>
      <c r="L10" s="49">
        <f t="shared" si="1"/>
        <v>0</v>
      </c>
      <c r="M10" s="50">
        <f t="shared" si="2"/>
        <v>0</v>
      </c>
      <c r="N10" s="33" t="e">
        <f>INDEX(Data!C:C,MATCH(F6,Data!B:B,0))</f>
        <v>#N/A</v>
      </c>
      <c r="O10" s="51" t="e">
        <f t="shared" si="3"/>
        <v>#N/A</v>
      </c>
    </row>
    <row r="11" spans="1:15" ht="44.45" customHeight="1" x14ac:dyDescent="0.2">
      <c r="A11" s="36">
        <v>4</v>
      </c>
      <c r="B11" s="26" t="s">
        <v>80</v>
      </c>
      <c r="C11" s="27">
        <f>SUMIF(Data!E:E,B11,Data!F:F)</f>
        <v>50</v>
      </c>
      <c r="D11" s="28"/>
      <c r="E11" s="29" t="s">
        <v>14</v>
      </c>
      <c r="F11" s="30"/>
      <c r="G11" s="31"/>
      <c r="H11" s="32">
        <f t="shared" si="4"/>
        <v>0</v>
      </c>
      <c r="J11" s="47">
        <f t="shared" si="0"/>
        <v>0</v>
      </c>
      <c r="K11" s="48">
        <f>SUMIF(Data!E:E,'มหาชัย(2)'!B11,Data!F:F)*J11</f>
        <v>0</v>
      </c>
      <c r="L11" s="49">
        <f t="shared" si="1"/>
        <v>0</v>
      </c>
      <c r="M11" s="50">
        <f t="shared" si="2"/>
        <v>0</v>
      </c>
      <c r="N11" s="33" t="e">
        <f>INDEX(Data!C:C,MATCH(F7,Data!B:B,0))</f>
        <v>#N/A</v>
      </c>
      <c r="O11" s="51" t="e">
        <f t="shared" si="3"/>
        <v>#N/A</v>
      </c>
    </row>
    <row r="12" spans="1:15" ht="44.45" customHeight="1" x14ac:dyDescent="0.2">
      <c r="A12" s="36">
        <v>5</v>
      </c>
      <c r="B12" s="26" t="s">
        <v>71</v>
      </c>
      <c r="C12" s="27">
        <f>SUMIF(Data!E:E,B12,Data!F:F)</f>
        <v>81</v>
      </c>
      <c r="D12" s="28"/>
      <c r="E12" s="29" t="s">
        <v>14</v>
      </c>
      <c r="F12" s="30"/>
      <c r="G12" s="31"/>
      <c r="H12" s="32">
        <f t="shared" si="4"/>
        <v>0</v>
      </c>
      <c r="J12" s="47">
        <f t="shared" si="0"/>
        <v>0</v>
      </c>
      <c r="K12" s="48">
        <f>SUMIF(Data!E:E,'มหาชัย(2)'!B12,Data!F:F)*J12</f>
        <v>0</v>
      </c>
      <c r="L12" s="49">
        <f t="shared" si="1"/>
        <v>0</v>
      </c>
      <c r="M12" s="50">
        <f t="shared" si="2"/>
        <v>0</v>
      </c>
      <c r="N12" s="33" t="e">
        <f>INDEX(Data!C:C,MATCH(F8,Data!B:B,0))</f>
        <v>#N/A</v>
      </c>
      <c r="O12" s="51" t="e">
        <f t="shared" si="3"/>
        <v>#N/A</v>
      </c>
    </row>
    <row r="13" spans="1:15" ht="44.45" customHeight="1" x14ac:dyDescent="0.2">
      <c r="A13" s="36">
        <v>6</v>
      </c>
      <c r="B13" s="26" t="s">
        <v>84</v>
      </c>
      <c r="C13" s="27">
        <f>SUMIF(Data!E:E,B13,Data!F:F)</f>
        <v>42</v>
      </c>
      <c r="D13" s="28"/>
      <c r="E13" s="29" t="s">
        <v>14</v>
      </c>
      <c r="F13" s="30"/>
      <c r="G13" s="31"/>
      <c r="H13" s="32">
        <f t="shared" si="4"/>
        <v>0</v>
      </c>
      <c r="J13" s="47">
        <f t="shared" si="0"/>
        <v>0</v>
      </c>
      <c r="K13" s="48">
        <f>SUMIF(Data!E:E,'มหาชัย(2)'!B13,Data!F:F)*J13</f>
        <v>0</v>
      </c>
      <c r="L13" s="49">
        <f t="shared" si="1"/>
        <v>0</v>
      </c>
      <c r="M13" s="50">
        <f t="shared" si="2"/>
        <v>0</v>
      </c>
      <c r="N13" s="33" t="e">
        <f>INDEX(Data!C:C,MATCH(F9,Data!B:B,0))</f>
        <v>#N/A</v>
      </c>
      <c r="O13" s="51" t="e">
        <f t="shared" si="3"/>
        <v>#N/A</v>
      </c>
    </row>
    <row r="14" spans="1:15" ht="44.45" customHeight="1" x14ac:dyDescent="0.2">
      <c r="A14" s="36">
        <v>7</v>
      </c>
      <c r="B14" s="26" t="s">
        <v>85</v>
      </c>
      <c r="C14" s="27">
        <f>SUMIF(Data!E:E,B14,Data!F:F)</f>
        <v>32</v>
      </c>
      <c r="D14" s="28"/>
      <c r="E14" s="29" t="s">
        <v>14</v>
      </c>
      <c r="F14" s="30"/>
      <c r="G14" s="31"/>
      <c r="H14" s="32">
        <f t="shared" si="4"/>
        <v>0</v>
      </c>
      <c r="J14" s="47">
        <f t="shared" si="0"/>
        <v>0</v>
      </c>
      <c r="K14" s="48">
        <f>SUMIF(Data!E:E,'มหาชัย(2)'!B14,Data!F:F)*J14</f>
        <v>0</v>
      </c>
      <c r="L14" s="49">
        <f t="shared" si="1"/>
        <v>0</v>
      </c>
      <c r="M14" s="50">
        <f t="shared" si="2"/>
        <v>0</v>
      </c>
      <c r="N14" s="33" t="e">
        <f>INDEX(Data!C:C,MATCH(F10,Data!B:B,0))</f>
        <v>#N/A</v>
      </c>
      <c r="O14" s="51" t="e">
        <f t="shared" si="3"/>
        <v>#N/A</v>
      </c>
    </row>
    <row r="15" spans="1:15" ht="44.45" customHeight="1" x14ac:dyDescent="0.2">
      <c r="A15" s="36">
        <v>8</v>
      </c>
      <c r="B15" s="26" t="s">
        <v>76</v>
      </c>
      <c r="C15" s="27">
        <f>SUMIF(Data!E:E,B15,Data!F:F)</f>
        <v>70</v>
      </c>
      <c r="D15" s="28"/>
      <c r="E15" s="29" t="s">
        <v>14</v>
      </c>
      <c r="F15" s="30"/>
      <c r="G15" s="31"/>
      <c r="H15" s="32">
        <f t="shared" si="4"/>
        <v>0</v>
      </c>
      <c r="J15" s="47">
        <f t="shared" si="0"/>
        <v>0</v>
      </c>
      <c r="K15" s="48">
        <f>SUMIF(Data!E:E,'มหาชัย(2)'!B15,Data!F:F)*J15</f>
        <v>0</v>
      </c>
      <c r="L15" s="49">
        <f t="shared" si="1"/>
        <v>0</v>
      </c>
      <c r="M15" s="50">
        <f t="shared" si="2"/>
        <v>0</v>
      </c>
      <c r="N15" s="33" t="e">
        <f>INDEX(Data!C:C,MATCH(F11,Data!B:B,0))</f>
        <v>#N/A</v>
      </c>
      <c r="O15" s="51" t="e">
        <f t="shared" si="3"/>
        <v>#N/A</v>
      </c>
    </row>
    <row r="16" spans="1:15" ht="44.45" customHeight="1" x14ac:dyDescent="0.2">
      <c r="A16" s="36">
        <v>9</v>
      </c>
      <c r="B16" s="26" t="s">
        <v>89</v>
      </c>
      <c r="C16" s="27">
        <f>SUMIF(Data!E:E,B16,Data!F:F)</f>
        <v>45</v>
      </c>
      <c r="D16" s="28"/>
      <c r="E16" s="29" t="s">
        <v>14</v>
      </c>
      <c r="F16" s="30"/>
      <c r="G16" s="31"/>
      <c r="H16" s="32">
        <f t="shared" si="4"/>
        <v>0</v>
      </c>
      <c r="J16" s="47">
        <f t="shared" si="0"/>
        <v>0</v>
      </c>
      <c r="K16" s="48">
        <f>SUMIF(Data!E:E,'มหาชัย(2)'!B16,Data!F:F)*J16</f>
        <v>0</v>
      </c>
      <c r="L16" s="49">
        <f t="shared" si="1"/>
        <v>0</v>
      </c>
      <c r="M16" s="50">
        <f t="shared" si="2"/>
        <v>0</v>
      </c>
      <c r="N16" s="33" t="e">
        <f>INDEX(Data!C:C,MATCH(F12,Data!B:B,0))</f>
        <v>#N/A</v>
      </c>
      <c r="O16" s="51" t="e">
        <f t="shared" si="3"/>
        <v>#N/A</v>
      </c>
    </row>
    <row r="17" spans="1:15" ht="44.45" customHeight="1" x14ac:dyDescent="0.2">
      <c r="A17" s="36">
        <v>10</v>
      </c>
      <c r="B17" s="26" t="s">
        <v>88</v>
      </c>
      <c r="C17" s="27">
        <f>SUMIF(Data!E:E,B17,Data!F:F)</f>
        <v>48</v>
      </c>
      <c r="D17" s="28"/>
      <c r="E17" s="29" t="s">
        <v>14</v>
      </c>
      <c r="F17" s="30"/>
      <c r="G17" s="31"/>
      <c r="H17" s="32">
        <f t="shared" si="4"/>
        <v>0</v>
      </c>
      <c r="J17" s="47">
        <f t="shared" si="0"/>
        <v>0</v>
      </c>
      <c r="K17" s="48">
        <f>SUMIF(Data!E:E,'มหาชัย(2)'!B17,Data!F:F)*J17</f>
        <v>0</v>
      </c>
      <c r="L17" s="49">
        <f t="shared" si="1"/>
        <v>0</v>
      </c>
      <c r="M17" s="50">
        <f t="shared" si="2"/>
        <v>0</v>
      </c>
      <c r="N17" s="33" t="e">
        <f>INDEX(Data!C:C,MATCH(F13,Data!B:B,0))</f>
        <v>#N/A</v>
      </c>
      <c r="O17" s="51" t="e">
        <f t="shared" si="3"/>
        <v>#N/A</v>
      </c>
    </row>
    <row r="18" spans="1:15" ht="44.45" customHeight="1" x14ac:dyDescent="0.2">
      <c r="A18" s="36">
        <v>11</v>
      </c>
      <c r="B18" s="26" t="s">
        <v>87</v>
      </c>
      <c r="C18" s="27">
        <f>SUMIF(Data!E:E,B18,Data!F:F)</f>
        <v>48</v>
      </c>
      <c r="D18" s="28"/>
      <c r="E18" s="29" t="s">
        <v>14</v>
      </c>
      <c r="F18" s="30"/>
      <c r="G18" s="31"/>
      <c r="H18" s="32">
        <f t="shared" si="4"/>
        <v>0</v>
      </c>
      <c r="J18" s="47">
        <f t="shared" si="0"/>
        <v>0</v>
      </c>
      <c r="K18" s="48">
        <f>SUMIF(Data!E:E,'มหาชัย(2)'!B18,Data!F:F)*J18</f>
        <v>0</v>
      </c>
      <c r="L18" s="49">
        <f t="shared" si="1"/>
        <v>0</v>
      </c>
      <c r="M18" s="50">
        <f t="shared" si="2"/>
        <v>0</v>
      </c>
      <c r="N18" s="33" t="e">
        <f>INDEX(Data!C:C,MATCH(F14,Data!B:B,0))</f>
        <v>#N/A</v>
      </c>
      <c r="O18" s="51" t="e">
        <f t="shared" si="3"/>
        <v>#N/A</v>
      </c>
    </row>
    <row r="19" spans="1:15" ht="44.45" customHeight="1" x14ac:dyDescent="0.2">
      <c r="A19" s="36">
        <v>12</v>
      </c>
      <c r="B19" s="26" t="s">
        <v>90</v>
      </c>
      <c r="C19" s="27">
        <f>SUMIF(Data!E:E,B19,Data!F:F)</f>
        <v>60</v>
      </c>
      <c r="D19" s="28"/>
      <c r="E19" s="29" t="s">
        <v>14</v>
      </c>
      <c r="F19" s="30"/>
      <c r="G19" s="31"/>
      <c r="H19" s="32">
        <f t="shared" si="4"/>
        <v>0</v>
      </c>
      <c r="J19" s="47">
        <f t="shared" si="0"/>
        <v>0</v>
      </c>
      <c r="K19" s="48">
        <f>SUMIF(Data!E:E,'มหาชัย(2)'!B19,Data!F:F)*J19</f>
        <v>0</v>
      </c>
      <c r="L19" s="49">
        <f t="shared" si="1"/>
        <v>0</v>
      </c>
      <c r="M19" s="50">
        <f t="shared" si="2"/>
        <v>0</v>
      </c>
      <c r="N19" s="33" t="e">
        <f>INDEX(Data!C:C,MATCH(F15,Data!B:B,0))</f>
        <v>#N/A</v>
      </c>
      <c r="O19" s="51" t="e">
        <f t="shared" si="3"/>
        <v>#N/A</v>
      </c>
    </row>
    <row r="20" spans="1:15" ht="44.45" customHeight="1" x14ac:dyDescent="0.2">
      <c r="A20" s="36">
        <v>13</v>
      </c>
      <c r="B20" s="26" t="s">
        <v>91</v>
      </c>
      <c r="C20" s="27">
        <f>SUMIF(Data!E:E,B20,Data!F:F)</f>
        <v>50</v>
      </c>
      <c r="D20" s="28"/>
      <c r="E20" s="29" t="s">
        <v>14</v>
      </c>
      <c r="F20" s="30"/>
      <c r="G20" s="31"/>
      <c r="H20" s="32">
        <f t="shared" si="4"/>
        <v>0</v>
      </c>
      <c r="J20" s="47">
        <f t="shared" si="0"/>
        <v>0</v>
      </c>
      <c r="K20" s="48">
        <f>SUMIF(Data!E:E,'มหาชัย(2)'!B20,Data!F:F)*J20</f>
        <v>0</v>
      </c>
      <c r="L20" s="49">
        <f t="shared" si="1"/>
        <v>0</v>
      </c>
      <c r="M20" s="50">
        <f t="shared" si="2"/>
        <v>0</v>
      </c>
      <c r="N20" s="33" t="e">
        <f>INDEX(Data!C:C,MATCH(F16,Data!B:B,0))</f>
        <v>#N/A</v>
      </c>
      <c r="O20" s="51" t="e">
        <f t="shared" si="3"/>
        <v>#N/A</v>
      </c>
    </row>
    <row r="21" spans="1:15" ht="44.45" customHeight="1" x14ac:dyDescent="0.2">
      <c r="A21" s="36">
        <v>14</v>
      </c>
      <c r="B21" s="26" t="s">
        <v>93</v>
      </c>
      <c r="C21" s="27">
        <f>SUMIF(Data!E:E,B21,Data!F:F)</f>
        <v>60</v>
      </c>
      <c r="D21" s="28"/>
      <c r="E21" s="29" t="s">
        <v>14</v>
      </c>
      <c r="F21" s="30"/>
      <c r="G21" s="31"/>
      <c r="H21" s="32">
        <f t="shared" si="4"/>
        <v>0</v>
      </c>
      <c r="J21" s="47">
        <f t="shared" si="0"/>
        <v>0</v>
      </c>
      <c r="K21" s="48">
        <f>SUMIF(Data!E:E,'มหาชัย(2)'!B21,Data!F:F)*J21</f>
        <v>0</v>
      </c>
      <c r="L21" s="49">
        <f t="shared" si="1"/>
        <v>0</v>
      </c>
      <c r="M21" s="50">
        <f t="shared" si="2"/>
        <v>0</v>
      </c>
      <c r="N21" s="33" t="e">
        <f>INDEX(Data!C:C,MATCH(F17,Data!B:B,0))</f>
        <v>#N/A</v>
      </c>
      <c r="O21" s="51" t="e">
        <f t="shared" si="3"/>
        <v>#N/A</v>
      </c>
    </row>
    <row r="22" spans="1:15" ht="44.45" customHeight="1" x14ac:dyDescent="0.2">
      <c r="A22" s="36">
        <v>15</v>
      </c>
      <c r="B22" s="26" t="s">
        <v>94</v>
      </c>
      <c r="C22" s="27">
        <f>SUMIF(Data!E:E,B22,Data!F:F)</f>
        <v>55</v>
      </c>
      <c r="D22" s="28"/>
      <c r="E22" s="29" t="s">
        <v>14</v>
      </c>
      <c r="F22" s="30"/>
      <c r="G22" s="31"/>
      <c r="H22" s="32">
        <f t="shared" si="4"/>
        <v>0</v>
      </c>
      <c r="J22" s="47">
        <f t="shared" si="0"/>
        <v>0</v>
      </c>
      <c r="K22" s="48">
        <f>SUMIF(Data!E:E,'มหาชัย(2)'!B22,Data!F:F)*J22</f>
        <v>0</v>
      </c>
      <c r="L22" s="49">
        <f t="shared" si="1"/>
        <v>0</v>
      </c>
      <c r="M22" s="50">
        <f t="shared" si="2"/>
        <v>0</v>
      </c>
      <c r="N22" s="33" t="e">
        <f>INDEX(Data!C:C,MATCH(F18,Data!B:B,0))</f>
        <v>#N/A</v>
      </c>
      <c r="O22" s="51" t="e">
        <f t="shared" si="3"/>
        <v>#N/A</v>
      </c>
    </row>
    <row r="23" spans="1:15" ht="44.45" customHeight="1" x14ac:dyDescent="0.2">
      <c r="A23" s="36">
        <v>16</v>
      </c>
      <c r="B23" s="26" t="s">
        <v>95</v>
      </c>
      <c r="C23" s="27">
        <f>SUMIF(Data!E:E,B23,Data!F:F)</f>
        <v>50</v>
      </c>
      <c r="D23" s="28"/>
      <c r="E23" s="29" t="s">
        <v>14</v>
      </c>
      <c r="F23" s="30"/>
      <c r="G23" s="31"/>
      <c r="H23" s="32">
        <f t="shared" si="4"/>
        <v>0</v>
      </c>
      <c r="J23" s="47">
        <f t="shared" si="0"/>
        <v>0</v>
      </c>
      <c r="K23" s="48">
        <f>SUMIF(Data!E:E,'มหาชัย(2)'!B23,Data!F:F)*J23</f>
        <v>0</v>
      </c>
      <c r="L23" s="49">
        <f t="shared" si="1"/>
        <v>0</v>
      </c>
      <c r="M23" s="50">
        <f t="shared" si="2"/>
        <v>0</v>
      </c>
      <c r="N23" s="33" t="e">
        <f>INDEX(Data!C:C,MATCH(F19,Data!B:B,0))</f>
        <v>#N/A</v>
      </c>
      <c r="O23" s="51" t="e">
        <f t="shared" si="3"/>
        <v>#N/A</v>
      </c>
    </row>
    <row r="24" spans="1:15" ht="44.45" customHeight="1" x14ac:dyDescent="0.2">
      <c r="A24" s="36">
        <v>17</v>
      </c>
      <c r="B24" s="26" t="s">
        <v>98</v>
      </c>
      <c r="C24" s="27">
        <f>SUMIF(Data!E:E,B24,Data!F:F)</f>
        <v>55</v>
      </c>
      <c r="D24" s="28"/>
      <c r="E24" s="29" t="s">
        <v>14</v>
      </c>
      <c r="F24" s="30"/>
      <c r="G24" s="31"/>
      <c r="H24" s="32">
        <f t="shared" si="4"/>
        <v>0</v>
      </c>
      <c r="J24" s="47">
        <f t="shared" si="0"/>
        <v>0</v>
      </c>
      <c r="K24" s="48">
        <f>SUMIF(Data!E:E,'มหาชัย(2)'!B24,Data!F:F)*J24</f>
        <v>0</v>
      </c>
      <c r="L24" s="49">
        <f t="shared" si="1"/>
        <v>0</v>
      </c>
      <c r="M24" s="50">
        <f t="shared" si="2"/>
        <v>0</v>
      </c>
      <c r="N24" s="33" t="e">
        <f>INDEX(Data!C:C,MATCH(F20,Data!B:B,0))</f>
        <v>#N/A</v>
      </c>
      <c r="O24" s="51" t="e">
        <f t="shared" si="3"/>
        <v>#N/A</v>
      </c>
    </row>
    <row r="25" spans="1:15" ht="44.45" customHeight="1" x14ac:dyDescent="0.2">
      <c r="A25" s="36">
        <v>18</v>
      </c>
      <c r="B25" s="26" t="s">
        <v>99</v>
      </c>
      <c r="C25" s="27">
        <f>SUMIF(Data!E:E,B25,Data!F:F)</f>
        <v>55</v>
      </c>
      <c r="D25" s="28"/>
      <c r="E25" s="29" t="s">
        <v>14</v>
      </c>
      <c r="F25" s="30"/>
      <c r="G25" s="31"/>
      <c r="H25" s="32">
        <f t="shared" si="4"/>
        <v>0</v>
      </c>
      <c r="J25" s="47">
        <f t="shared" si="0"/>
        <v>0</v>
      </c>
      <c r="K25" s="48">
        <f>SUMIF(Data!E:E,'มหาชัย(2)'!B25,Data!F:F)*J25</f>
        <v>0</v>
      </c>
      <c r="L25" s="49">
        <f t="shared" si="1"/>
        <v>0</v>
      </c>
      <c r="M25" s="50">
        <f t="shared" si="2"/>
        <v>0</v>
      </c>
      <c r="N25" s="33" t="e">
        <f>INDEX(Data!C:C,MATCH(F21,Data!B:B,0))</f>
        <v>#N/A</v>
      </c>
      <c r="O25" s="51" t="e">
        <f t="shared" si="3"/>
        <v>#N/A</v>
      </c>
    </row>
    <row r="26" spans="1:15" ht="44.45" customHeight="1" x14ac:dyDescent="0.2">
      <c r="A26" s="36">
        <v>19</v>
      </c>
      <c r="B26" s="26" t="s">
        <v>100</v>
      </c>
      <c r="C26" s="27">
        <f>SUMIF(Data!E:E,B26,Data!F:F)</f>
        <v>81</v>
      </c>
      <c r="D26" s="28"/>
      <c r="E26" s="29" t="s">
        <v>14</v>
      </c>
      <c r="F26" s="30"/>
      <c r="G26" s="31"/>
      <c r="H26" s="32">
        <f t="shared" si="4"/>
        <v>0</v>
      </c>
      <c r="J26" s="47">
        <f t="shared" si="0"/>
        <v>0</v>
      </c>
      <c r="K26" s="48">
        <f>SUMIF(Data!E:E,'มหาชัย(2)'!B26,Data!F:F)*J26</f>
        <v>0</v>
      </c>
      <c r="L26" s="49">
        <f t="shared" si="1"/>
        <v>0</v>
      </c>
      <c r="M26" s="50">
        <f t="shared" si="2"/>
        <v>0</v>
      </c>
      <c r="N26" s="33" t="e">
        <f>INDEX(Data!C:C,MATCH(F22,Data!B:B,0))</f>
        <v>#N/A</v>
      </c>
      <c r="O26" s="51" t="e">
        <f t="shared" si="3"/>
        <v>#N/A</v>
      </c>
    </row>
    <row r="27" spans="1:15" ht="54.6" customHeight="1" x14ac:dyDescent="0.2">
      <c r="A27" s="60" t="s">
        <v>5</v>
      </c>
      <c r="B27" s="60"/>
      <c r="C27" s="40"/>
      <c r="D27" s="41"/>
      <c r="E27" s="42"/>
      <c r="F27" s="42"/>
      <c r="G27" s="42"/>
      <c r="H27" s="1"/>
      <c r="J27" s="14" t="s">
        <v>39</v>
      </c>
      <c r="K27" s="14" t="s">
        <v>41</v>
      </c>
      <c r="L27" s="14" t="s">
        <v>57</v>
      </c>
    </row>
    <row r="28" spans="1:15" ht="20.100000000000001" customHeight="1" x14ac:dyDescent="0.2">
      <c r="J28" s="13">
        <f>SUM($J$8:$J$26)</f>
        <v>0</v>
      </c>
      <c r="K28" s="13">
        <f>SUM($L$8:$L$26)</f>
        <v>0</v>
      </c>
      <c r="L28" s="13">
        <f>SUM(J28:K28)</f>
        <v>0</v>
      </c>
    </row>
    <row r="29" spans="1:15" ht="20.100000000000001" customHeight="1" x14ac:dyDescent="0.2">
      <c r="L29" s="13"/>
    </row>
    <row r="30" spans="1:15" ht="61.5" customHeight="1" x14ac:dyDescent="0.25">
      <c r="A30" s="8"/>
      <c r="B30" s="9" t="s">
        <v>29</v>
      </c>
      <c r="C30" s="9"/>
      <c r="G30" s="8" t="s">
        <v>31</v>
      </c>
      <c r="K30" s="11"/>
      <c r="L30" s="8"/>
      <c r="N30" s="8"/>
      <c r="O30" s="8"/>
    </row>
    <row r="31" spans="1:15" ht="61.5" customHeight="1" x14ac:dyDescent="0.25">
      <c r="A31" s="8"/>
      <c r="B31" s="8" t="s">
        <v>28</v>
      </c>
      <c r="C31" s="8"/>
      <c r="F31" s="8"/>
      <c r="G31" s="8" t="s">
        <v>32</v>
      </c>
      <c r="H31" s="8"/>
      <c r="K31" s="11"/>
      <c r="L31" s="8"/>
      <c r="N31" s="8"/>
      <c r="O31" s="8"/>
    </row>
    <row r="32" spans="1:15" ht="61.5" customHeight="1" x14ac:dyDescent="0.25">
      <c r="A32" s="8"/>
      <c r="B32" s="8" t="s">
        <v>30</v>
      </c>
      <c r="C32" s="8"/>
      <c r="F32" s="8"/>
      <c r="G32" s="8" t="s">
        <v>33</v>
      </c>
      <c r="H32" s="9"/>
      <c r="J32" s="11"/>
      <c r="L32" s="9"/>
      <c r="N32" s="9"/>
      <c r="O32" s="9"/>
    </row>
    <row r="33" ht="20.100000000000001" customHeight="1" x14ac:dyDescent="0.2"/>
    <row r="34" ht="20.100000000000001" customHeight="1" x14ac:dyDescent="0.2"/>
    <row r="35" ht="20.100000000000001" customHeight="1" x14ac:dyDescent="0.2"/>
    <row r="36" ht="20.100000000000001" customHeight="1" x14ac:dyDescent="0.2"/>
    <row r="37" ht="20.100000000000001" customHeight="1" x14ac:dyDescent="0.2"/>
    <row r="38" ht="20.100000000000001" customHeight="1" x14ac:dyDescent="0.2"/>
    <row r="39" ht="20.100000000000001" customHeight="1" x14ac:dyDescent="0.2"/>
    <row r="40" ht="20.100000000000001" customHeight="1" x14ac:dyDescent="0.2"/>
    <row r="41" ht="20.100000000000001" customHeight="1" x14ac:dyDescent="0.2"/>
  </sheetData>
  <mergeCells count="13">
    <mergeCell ref="A1:F2"/>
    <mergeCell ref="A3:H3"/>
    <mergeCell ref="D4:E4"/>
    <mergeCell ref="F4:H4"/>
    <mergeCell ref="A5:A6"/>
    <mergeCell ref="B5:B6"/>
    <mergeCell ref="D5:E5"/>
    <mergeCell ref="F5:H6"/>
    <mergeCell ref="J5:M5"/>
    <mergeCell ref="D6:E6"/>
    <mergeCell ref="J6:K6"/>
    <mergeCell ref="L6:M6"/>
    <mergeCell ref="A27:B27"/>
  </mergeCells>
  <conditionalFormatting sqref="H8:H26">
    <cfRule type="cellIs" dxfId="107" priority="5" operator="lessThan">
      <formula>-1</formula>
    </cfRule>
    <cfRule type="cellIs" dxfId="106" priority="6" operator="equal">
      <formula>"-"</formula>
    </cfRule>
  </conditionalFormatting>
  <conditionalFormatting sqref="J8:O26">
    <cfRule type="containsErrors" dxfId="105" priority="4">
      <formula>ISERROR(J8)</formula>
    </cfRule>
  </conditionalFormatting>
  <conditionalFormatting sqref="O8:O26">
    <cfRule type="cellIs" dxfId="104" priority="1" operator="lessThan">
      <formula>0</formula>
    </cfRule>
    <cfRule type="cellIs" dxfId="103" priority="2" operator="greaterThan">
      <formula>15</formula>
    </cfRule>
    <cfRule type="cellIs" dxfId="102" priority="3" operator="lessThan">
      <formula>16</formula>
    </cfRule>
  </conditionalFormatting>
  <pageMargins left="0.7" right="0.7" top="0.75" bottom="0.75" header="0.3" footer="0.3"/>
  <pageSetup paperSize="9" scale="38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DF5C894-5ED6-4370-968C-8ABA0170A4E4}">
          <x14:formula1>
            <xm:f>Data!$B$2:$B$22</xm:f>
          </x14:formula1>
          <xm:sqref>F4</xm:sqref>
        </x14:dataValidation>
        <x14:dataValidation type="list" allowBlank="1" showInputMessage="1" showErrorMessage="1" xr:uid="{7A6D3C3A-8B65-4F3A-ADDE-06C4CDB74B6A}">
          <x14:formula1>
            <xm:f>Data!$G$2:$G$6</xm:f>
          </x14:formula1>
          <xm:sqref>E8:E26</xm:sqref>
        </x14:dataValidation>
        <x14:dataValidation type="list" allowBlank="1" showInputMessage="1" showErrorMessage="1" xr:uid="{722FEE04-33E1-4B84-87FC-98FE9006619A}">
          <x14:formula1>
            <xm:f>Data!$E$2:$E$37</xm:f>
          </x14:formula1>
          <xm:sqref>B8:B26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F2B98-5253-4866-80BA-5C1411221333}">
  <sheetPr>
    <tabColor rgb="FF92D050"/>
    <pageSetUpPr fitToPage="1"/>
  </sheetPr>
  <dimension ref="A1:O41"/>
  <sheetViews>
    <sheetView topLeftCell="A9" zoomScale="55" zoomScaleNormal="55" zoomScaleSheetLayoutView="50" workbookViewId="0">
      <selection activeCell="B26" sqref="B26"/>
    </sheetView>
  </sheetViews>
  <sheetFormatPr defaultRowHeight="14.25" x14ac:dyDescent="0.2"/>
  <cols>
    <col min="2" max="2" width="60.875" customWidth="1"/>
    <col min="3" max="3" width="9.375" customWidth="1"/>
    <col min="4" max="4" width="19.625" customWidth="1"/>
    <col min="5" max="5" width="10.375" customWidth="1"/>
    <col min="6" max="7" width="22.125" customWidth="1"/>
    <col min="8" max="8" width="20.875" customWidth="1"/>
    <col min="9" max="9" width="1.875" customWidth="1"/>
    <col min="10" max="10" width="13.875" customWidth="1"/>
    <col min="11" max="11" width="25.125" bestFit="1" customWidth="1"/>
    <col min="12" max="13" width="13.875" customWidth="1"/>
    <col min="14" max="14" width="8.75" customWidth="1"/>
    <col min="15" max="15" width="18.125" customWidth="1"/>
  </cols>
  <sheetData>
    <row r="1" spans="1:15" ht="39.6" customHeight="1" x14ac:dyDescent="0.2">
      <c r="A1" s="61" t="s">
        <v>19</v>
      </c>
      <c r="B1" s="61"/>
      <c r="C1" s="61"/>
      <c r="D1" s="61"/>
      <c r="E1" s="61"/>
      <c r="F1" s="61"/>
      <c r="G1" s="6" t="s">
        <v>17</v>
      </c>
      <c r="H1" s="5" t="s">
        <v>58</v>
      </c>
    </row>
    <row r="2" spans="1:15" ht="40.5" customHeight="1" thickBot="1" x14ac:dyDescent="0.25">
      <c r="A2" s="62"/>
      <c r="B2" s="62"/>
      <c r="C2" s="62"/>
      <c r="D2" s="62"/>
      <c r="E2" s="62"/>
      <c r="F2" s="62"/>
      <c r="G2" s="6" t="s">
        <v>27</v>
      </c>
      <c r="H2" s="15"/>
    </row>
    <row r="3" spans="1:15" ht="48.6" customHeight="1" x14ac:dyDescent="0.2">
      <c r="A3" s="63" t="s">
        <v>1</v>
      </c>
      <c r="B3" s="64"/>
      <c r="C3" s="64"/>
      <c r="D3" s="64"/>
      <c r="E3" s="64"/>
      <c r="F3" s="64"/>
      <c r="G3" s="64"/>
      <c r="H3" s="65"/>
    </row>
    <row r="4" spans="1:15" ht="54.95" customHeight="1" x14ac:dyDescent="0.2">
      <c r="A4" s="33" t="s">
        <v>0</v>
      </c>
      <c r="B4" s="34" t="s">
        <v>21</v>
      </c>
      <c r="C4" s="35"/>
      <c r="D4" s="66" t="s">
        <v>6</v>
      </c>
      <c r="E4" s="66"/>
      <c r="F4" s="57" t="s">
        <v>51</v>
      </c>
      <c r="G4" s="57"/>
      <c r="H4" s="57"/>
    </row>
    <row r="5" spans="1:15" ht="30.95" customHeight="1" x14ac:dyDescent="0.2">
      <c r="A5" s="55" t="s">
        <v>2</v>
      </c>
      <c r="B5" s="67"/>
      <c r="C5" s="37"/>
      <c r="D5" s="55" t="s">
        <v>18</v>
      </c>
      <c r="E5" s="55"/>
      <c r="F5" s="68"/>
      <c r="G5" s="68"/>
      <c r="H5" s="68"/>
      <c r="J5" s="55" t="s">
        <v>38</v>
      </c>
      <c r="K5" s="55"/>
      <c r="L5" s="55"/>
      <c r="M5" s="55"/>
    </row>
    <row r="6" spans="1:15" ht="30.6" customHeight="1" x14ac:dyDescent="0.2">
      <c r="A6" s="55"/>
      <c r="B6" s="67"/>
      <c r="C6" s="37"/>
      <c r="D6" s="56"/>
      <c r="E6" s="57"/>
      <c r="F6" s="68"/>
      <c r="G6" s="68"/>
      <c r="H6" s="68"/>
      <c r="J6" s="58" t="s">
        <v>39</v>
      </c>
      <c r="K6" s="58"/>
      <c r="L6" s="59" t="s">
        <v>41</v>
      </c>
      <c r="M6" s="59"/>
    </row>
    <row r="7" spans="1:15" s="7" customFormat="1" ht="36.6" customHeight="1" x14ac:dyDescent="0.25">
      <c r="A7" s="38" t="s">
        <v>3</v>
      </c>
      <c r="B7" s="38" t="s">
        <v>4</v>
      </c>
      <c r="C7" s="38" t="s">
        <v>42</v>
      </c>
      <c r="D7" s="38" t="s">
        <v>11</v>
      </c>
      <c r="E7" s="38" t="s">
        <v>12</v>
      </c>
      <c r="F7" s="38" t="s">
        <v>9</v>
      </c>
      <c r="G7" s="38" t="s">
        <v>10</v>
      </c>
      <c r="H7" s="39" t="s">
        <v>24</v>
      </c>
      <c r="J7" s="43" t="s">
        <v>40</v>
      </c>
      <c r="K7" s="44" t="s">
        <v>14</v>
      </c>
      <c r="L7" s="45" t="s">
        <v>40</v>
      </c>
      <c r="M7" s="46" t="s">
        <v>14</v>
      </c>
      <c r="N7" s="42" t="s">
        <v>25</v>
      </c>
      <c r="O7" s="42" t="s">
        <v>26</v>
      </c>
    </row>
    <row r="8" spans="1:15" ht="44.45" customHeight="1" x14ac:dyDescent="0.2">
      <c r="A8" s="36">
        <v>1</v>
      </c>
      <c r="B8" s="26" t="s">
        <v>77</v>
      </c>
      <c r="C8" s="27">
        <f>SUMIF(Data!E:E,B8,Data!F:F)</f>
        <v>42</v>
      </c>
      <c r="D8" s="28"/>
      <c r="E8" s="29" t="s">
        <v>14</v>
      </c>
      <c r="F8" s="30"/>
      <c r="G8" s="31"/>
      <c r="H8" s="32">
        <f>+G8-$D$6</f>
        <v>0</v>
      </c>
      <c r="J8" s="47">
        <f t="shared" ref="J8:J26" si="0">ROUNDDOWN((D8/C8),0)</f>
        <v>0</v>
      </c>
      <c r="K8" s="48">
        <f>SUMIF(Data!E:E,'มหาชัย(2)'!B8,Data!F:F)*J8</f>
        <v>0</v>
      </c>
      <c r="L8" s="49">
        <f t="shared" ref="L8:L26" si="1">ROUNDUP((M8/C8),0)</f>
        <v>0</v>
      </c>
      <c r="M8" s="50">
        <f t="shared" ref="M8:M26" si="2">D8-K8</f>
        <v>0</v>
      </c>
      <c r="N8" s="33">
        <f>INDEX(Data!C:C,MATCH(F4,Data!B:B,0))</f>
        <v>60</v>
      </c>
      <c r="O8" s="51">
        <f t="shared" ref="O8:O26" si="3">H8-N8</f>
        <v>-60</v>
      </c>
    </row>
    <row r="9" spans="1:15" ht="44.45" customHeight="1" x14ac:dyDescent="0.2">
      <c r="A9" s="36">
        <v>2</v>
      </c>
      <c r="B9" s="26" t="s">
        <v>66</v>
      </c>
      <c r="C9" s="27">
        <f>SUMIF(Data!E:E,B9,Data!F:F)</f>
        <v>36</v>
      </c>
      <c r="D9" s="28"/>
      <c r="E9" s="29" t="s">
        <v>14</v>
      </c>
      <c r="F9" s="30"/>
      <c r="G9" s="31"/>
      <c r="H9" s="32">
        <f t="shared" ref="H9:H26" si="4">+G9-$D$6</f>
        <v>0</v>
      </c>
      <c r="J9" s="47">
        <f t="shared" si="0"/>
        <v>0</v>
      </c>
      <c r="K9" s="48">
        <f>SUMIF(Data!E:E,'มหาชัย(2)'!B9,Data!F:F)*J9</f>
        <v>0</v>
      </c>
      <c r="L9" s="49">
        <f t="shared" si="1"/>
        <v>0</v>
      </c>
      <c r="M9" s="50">
        <f t="shared" si="2"/>
        <v>0</v>
      </c>
      <c r="N9" s="33" t="e">
        <f>INDEX(Data!C:C,MATCH(F5,Data!B:B,0))</f>
        <v>#N/A</v>
      </c>
      <c r="O9" s="51" t="e">
        <f t="shared" si="3"/>
        <v>#N/A</v>
      </c>
    </row>
    <row r="10" spans="1:15" ht="44.45" customHeight="1" x14ac:dyDescent="0.2">
      <c r="A10" s="36">
        <v>3</v>
      </c>
      <c r="B10" s="26" t="s">
        <v>79</v>
      </c>
      <c r="C10" s="27">
        <f>SUMIF(Data!E:E,B10,Data!F:F)</f>
        <v>42</v>
      </c>
      <c r="D10" s="28"/>
      <c r="E10" s="29" t="s">
        <v>14</v>
      </c>
      <c r="F10" s="30"/>
      <c r="G10" s="31"/>
      <c r="H10" s="32">
        <f t="shared" si="4"/>
        <v>0</v>
      </c>
      <c r="J10" s="47">
        <f t="shared" si="0"/>
        <v>0</v>
      </c>
      <c r="K10" s="48">
        <f>SUMIF(Data!E:E,'มหาชัย(2)'!B10,Data!F:F)*J10</f>
        <v>0</v>
      </c>
      <c r="L10" s="49">
        <f t="shared" si="1"/>
        <v>0</v>
      </c>
      <c r="M10" s="50">
        <f t="shared" si="2"/>
        <v>0</v>
      </c>
      <c r="N10" s="33" t="e">
        <f>INDEX(Data!C:C,MATCH(F6,Data!B:B,0))</f>
        <v>#N/A</v>
      </c>
      <c r="O10" s="51" t="e">
        <f t="shared" si="3"/>
        <v>#N/A</v>
      </c>
    </row>
    <row r="11" spans="1:15" ht="44.45" customHeight="1" x14ac:dyDescent="0.2">
      <c r="A11" s="36">
        <v>4</v>
      </c>
      <c r="B11" s="26" t="s">
        <v>80</v>
      </c>
      <c r="C11" s="27">
        <f>SUMIF(Data!E:E,B11,Data!F:F)</f>
        <v>50</v>
      </c>
      <c r="D11" s="28"/>
      <c r="E11" s="29" t="s">
        <v>14</v>
      </c>
      <c r="F11" s="30"/>
      <c r="G11" s="31"/>
      <c r="H11" s="32">
        <f t="shared" si="4"/>
        <v>0</v>
      </c>
      <c r="J11" s="47">
        <f t="shared" si="0"/>
        <v>0</v>
      </c>
      <c r="K11" s="48">
        <f>SUMIF(Data!E:E,'มหาชัย(2)'!B11,Data!F:F)*J11</f>
        <v>0</v>
      </c>
      <c r="L11" s="49">
        <f t="shared" si="1"/>
        <v>0</v>
      </c>
      <c r="M11" s="50">
        <f t="shared" si="2"/>
        <v>0</v>
      </c>
      <c r="N11" s="33" t="e">
        <f>INDEX(Data!C:C,MATCH(F7,Data!B:B,0))</f>
        <v>#N/A</v>
      </c>
      <c r="O11" s="51" t="e">
        <f t="shared" si="3"/>
        <v>#N/A</v>
      </c>
    </row>
    <row r="12" spans="1:15" ht="44.45" customHeight="1" x14ac:dyDescent="0.2">
      <c r="A12" s="36">
        <v>5</v>
      </c>
      <c r="B12" s="26" t="s">
        <v>71</v>
      </c>
      <c r="C12" s="27">
        <f>SUMIF(Data!E:E,B12,Data!F:F)</f>
        <v>81</v>
      </c>
      <c r="D12" s="28"/>
      <c r="E12" s="29" t="s">
        <v>14</v>
      </c>
      <c r="F12" s="30"/>
      <c r="G12" s="31"/>
      <c r="H12" s="32">
        <f t="shared" si="4"/>
        <v>0</v>
      </c>
      <c r="J12" s="47">
        <f t="shared" si="0"/>
        <v>0</v>
      </c>
      <c r="K12" s="48">
        <f>SUMIF(Data!E:E,'มหาชัย(2)'!B12,Data!F:F)*J12</f>
        <v>0</v>
      </c>
      <c r="L12" s="49">
        <f t="shared" si="1"/>
        <v>0</v>
      </c>
      <c r="M12" s="50">
        <f t="shared" si="2"/>
        <v>0</v>
      </c>
      <c r="N12" s="33" t="e">
        <f>INDEX(Data!C:C,MATCH(F8,Data!B:B,0))</f>
        <v>#N/A</v>
      </c>
      <c r="O12" s="51" t="e">
        <f t="shared" si="3"/>
        <v>#N/A</v>
      </c>
    </row>
    <row r="13" spans="1:15" ht="44.45" customHeight="1" x14ac:dyDescent="0.2">
      <c r="A13" s="36">
        <v>6</v>
      </c>
      <c r="B13" s="26" t="s">
        <v>84</v>
      </c>
      <c r="C13" s="27">
        <f>SUMIF(Data!E:E,B13,Data!F:F)</f>
        <v>42</v>
      </c>
      <c r="D13" s="28"/>
      <c r="E13" s="29" t="s">
        <v>14</v>
      </c>
      <c r="F13" s="30"/>
      <c r="G13" s="31"/>
      <c r="H13" s="32">
        <f t="shared" si="4"/>
        <v>0</v>
      </c>
      <c r="J13" s="47">
        <f t="shared" si="0"/>
        <v>0</v>
      </c>
      <c r="K13" s="48">
        <f>SUMIF(Data!E:E,'มหาชัย(2)'!B13,Data!F:F)*J13</f>
        <v>0</v>
      </c>
      <c r="L13" s="49">
        <f t="shared" si="1"/>
        <v>0</v>
      </c>
      <c r="M13" s="50">
        <f t="shared" si="2"/>
        <v>0</v>
      </c>
      <c r="N13" s="33" t="e">
        <f>INDEX(Data!C:C,MATCH(F9,Data!B:B,0))</f>
        <v>#N/A</v>
      </c>
      <c r="O13" s="51" t="e">
        <f t="shared" si="3"/>
        <v>#N/A</v>
      </c>
    </row>
    <row r="14" spans="1:15" ht="44.45" customHeight="1" x14ac:dyDescent="0.2">
      <c r="A14" s="36">
        <v>7</v>
      </c>
      <c r="B14" s="26" t="s">
        <v>85</v>
      </c>
      <c r="C14" s="27">
        <f>SUMIF(Data!E:E,B14,Data!F:F)</f>
        <v>32</v>
      </c>
      <c r="D14" s="28"/>
      <c r="E14" s="29" t="s">
        <v>14</v>
      </c>
      <c r="F14" s="30"/>
      <c r="G14" s="31"/>
      <c r="H14" s="32">
        <f t="shared" si="4"/>
        <v>0</v>
      </c>
      <c r="J14" s="47">
        <f t="shared" si="0"/>
        <v>0</v>
      </c>
      <c r="K14" s="48">
        <f>SUMIF(Data!E:E,'มหาชัย(2)'!B14,Data!F:F)*J14</f>
        <v>0</v>
      </c>
      <c r="L14" s="49">
        <f t="shared" si="1"/>
        <v>0</v>
      </c>
      <c r="M14" s="50">
        <f t="shared" si="2"/>
        <v>0</v>
      </c>
      <c r="N14" s="33" t="e">
        <f>INDEX(Data!C:C,MATCH(F10,Data!B:B,0))</f>
        <v>#N/A</v>
      </c>
      <c r="O14" s="51" t="e">
        <f t="shared" si="3"/>
        <v>#N/A</v>
      </c>
    </row>
    <row r="15" spans="1:15" ht="44.45" customHeight="1" x14ac:dyDescent="0.2">
      <c r="A15" s="36">
        <v>8</v>
      </c>
      <c r="B15" s="26" t="s">
        <v>76</v>
      </c>
      <c r="C15" s="27">
        <f>SUMIF(Data!E:E,B15,Data!F:F)</f>
        <v>70</v>
      </c>
      <c r="D15" s="28"/>
      <c r="E15" s="29" t="s">
        <v>14</v>
      </c>
      <c r="F15" s="30"/>
      <c r="G15" s="31"/>
      <c r="H15" s="32">
        <f t="shared" si="4"/>
        <v>0</v>
      </c>
      <c r="J15" s="47">
        <f t="shared" si="0"/>
        <v>0</v>
      </c>
      <c r="K15" s="48">
        <f>SUMIF(Data!E:E,'มหาชัย(2)'!B15,Data!F:F)*J15</f>
        <v>0</v>
      </c>
      <c r="L15" s="49">
        <f t="shared" si="1"/>
        <v>0</v>
      </c>
      <c r="M15" s="50">
        <f t="shared" si="2"/>
        <v>0</v>
      </c>
      <c r="N15" s="33" t="e">
        <f>INDEX(Data!C:C,MATCH(F11,Data!B:B,0))</f>
        <v>#N/A</v>
      </c>
      <c r="O15" s="51" t="e">
        <f t="shared" si="3"/>
        <v>#N/A</v>
      </c>
    </row>
    <row r="16" spans="1:15" ht="44.45" customHeight="1" x14ac:dyDescent="0.2">
      <c r="A16" s="36">
        <v>9</v>
      </c>
      <c r="B16" s="26" t="s">
        <v>89</v>
      </c>
      <c r="C16" s="27">
        <f>SUMIF(Data!E:E,B16,Data!F:F)</f>
        <v>45</v>
      </c>
      <c r="D16" s="28"/>
      <c r="E16" s="29" t="s">
        <v>14</v>
      </c>
      <c r="F16" s="30"/>
      <c r="G16" s="31"/>
      <c r="H16" s="32">
        <f t="shared" si="4"/>
        <v>0</v>
      </c>
      <c r="J16" s="47">
        <f t="shared" si="0"/>
        <v>0</v>
      </c>
      <c r="K16" s="48">
        <f>SUMIF(Data!E:E,'มหาชัย(2)'!B16,Data!F:F)*J16</f>
        <v>0</v>
      </c>
      <c r="L16" s="49">
        <f t="shared" si="1"/>
        <v>0</v>
      </c>
      <c r="M16" s="50">
        <f t="shared" si="2"/>
        <v>0</v>
      </c>
      <c r="N16" s="33" t="e">
        <f>INDEX(Data!C:C,MATCH(F12,Data!B:B,0))</f>
        <v>#N/A</v>
      </c>
      <c r="O16" s="51" t="e">
        <f t="shared" si="3"/>
        <v>#N/A</v>
      </c>
    </row>
    <row r="17" spans="1:15" ht="44.45" customHeight="1" x14ac:dyDescent="0.2">
      <c r="A17" s="36">
        <v>10</v>
      </c>
      <c r="B17" s="26" t="s">
        <v>88</v>
      </c>
      <c r="C17" s="27">
        <f>SUMIF(Data!E:E,B17,Data!F:F)</f>
        <v>48</v>
      </c>
      <c r="D17" s="28"/>
      <c r="E17" s="29" t="s">
        <v>14</v>
      </c>
      <c r="F17" s="30"/>
      <c r="G17" s="31"/>
      <c r="H17" s="32">
        <f t="shared" si="4"/>
        <v>0</v>
      </c>
      <c r="J17" s="47">
        <f t="shared" si="0"/>
        <v>0</v>
      </c>
      <c r="K17" s="48">
        <f>SUMIF(Data!E:E,'มหาชัย(2)'!B17,Data!F:F)*J17</f>
        <v>0</v>
      </c>
      <c r="L17" s="49">
        <f t="shared" si="1"/>
        <v>0</v>
      </c>
      <c r="M17" s="50">
        <f t="shared" si="2"/>
        <v>0</v>
      </c>
      <c r="N17" s="33" t="e">
        <f>INDEX(Data!C:C,MATCH(F13,Data!B:B,0))</f>
        <v>#N/A</v>
      </c>
      <c r="O17" s="51" t="e">
        <f t="shared" si="3"/>
        <v>#N/A</v>
      </c>
    </row>
    <row r="18" spans="1:15" ht="44.45" customHeight="1" x14ac:dyDescent="0.2">
      <c r="A18" s="36">
        <v>11</v>
      </c>
      <c r="B18" s="26" t="s">
        <v>87</v>
      </c>
      <c r="C18" s="27">
        <f>SUMIF(Data!E:E,B18,Data!F:F)</f>
        <v>48</v>
      </c>
      <c r="D18" s="28"/>
      <c r="E18" s="29" t="s">
        <v>14</v>
      </c>
      <c r="F18" s="30"/>
      <c r="G18" s="31"/>
      <c r="H18" s="32">
        <f t="shared" si="4"/>
        <v>0</v>
      </c>
      <c r="J18" s="47">
        <f t="shared" si="0"/>
        <v>0</v>
      </c>
      <c r="K18" s="48">
        <f>SUMIF(Data!E:E,'มหาชัย(2)'!B18,Data!F:F)*J18</f>
        <v>0</v>
      </c>
      <c r="L18" s="49">
        <f t="shared" si="1"/>
        <v>0</v>
      </c>
      <c r="M18" s="50">
        <f t="shared" si="2"/>
        <v>0</v>
      </c>
      <c r="N18" s="33" t="e">
        <f>INDEX(Data!C:C,MATCH(F14,Data!B:B,0))</f>
        <v>#N/A</v>
      </c>
      <c r="O18" s="51" t="e">
        <f t="shared" si="3"/>
        <v>#N/A</v>
      </c>
    </row>
    <row r="19" spans="1:15" ht="44.45" customHeight="1" x14ac:dyDescent="0.2">
      <c r="A19" s="36">
        <v>12</v>
      </c>
      <c r="B19" s="26" t="s">
        <v>90</v>
      </c>
      <c r="C19" s="27">
        <f>SUMIF(Data!E:E,B19,Data!F:F)</f>
        <v>60</v>
      </c>
      <c r="D19" s="28"/>
      <c r="E19" s="29" t="s">
        <v>14</v>
      </c>
      <c r="F19" s="30"/>
      <c r="G19" s="31"/>
      <c r="H19" s="32">
        <f t="shared" si="4"/>
        <v>0</v>
      </c>
      <c r="J19" s="47">
        <f t="shared" si="0"/>
        <v>0</v>
      </c>
      <c r="K19" s="48">
        <f>SUMIF(Data!E:E,'มหาชัย(2)'!B19,Data!F:F)*J19</f>
        <v>0</v>
      </c>
      <c r="L19" s="49">
        <f t="shared" si="1"/>
        <v>0</v>
      </c>
      <c r="M19" s="50">
        <f t="shared" si="2"/>
        <v>0</v>
      </c>
      <c r="N19" s="33" t="e">
        <f>INDEX(Data!C:C,MATCH(F15,Data!B:B,0))</f>
        <v>#N/A</v>
      </c>
      <c r="O19" s="51" t="e">
        <f t="shared" si="3"/>
        <v>#N/A</v>
      </c>
    </row>
    <row r="20" spans="1:15" ht="44.45" customHeight="1" x14ac:dyDescent="0.2">
      <c r="A20" s="36">
        <v>13</v>
      </c>
      <c r="B20" s="26" t="s">
        <v>91</v>
      </c>
      <c r="C20" s="27">
        <f>SUMIF(Data!E:E,B20,Data!F:F)</f>
        <v>50</v>
      </c>
      <c r="D20" s="28"/>
      <c r="E20" s="29" t="s">
        <v>14</v>
      </c>
      <c r="F20" s="30"/>
      <c r="G20" s="31"/>
      <c r="H20" s="32">
        <f t="shared" si="4"/>
        <v>0</v>
      </c>
      <c r="J20" s="47">
        <f t="shared" si="0"/>
        <v>0</v>
      </c>
      <c r="K20" s="48">
        <f>SUMIF(Data!E:E,'มหาชัย(2)'!B20,Data!F:F)*J20</f>
        <v>0</v>
      </c>
      <c r="L20" s="49">
        <f t="shared" si="1"/>
        <v>0</v>
      </c>
      <c r="M20" s="50">
        <f t="shared" si="2"/>
        <v>0</v>
      </c>
      <c r="N20" s="33" t="e">
        <f>INDEX(Data!C:C,MATCH(F16,Data!B:B,0))</f>
        <v>#N/A</v>
      </c>
      <c r="O20" s="51" t="e">
        <f t="shared" si="3"/>
        <v>#N/A</v>
      </c>
    </row>
    <row r="21" spans="1:15" ht="44.45" customHeight="1" x14ac:dyDescent="0.2">
      <c r="A21" s="36">
        <v>14</v>
      </c>
      <c r="B21" s="26" t="s">
        <v>93</v>
      </c>
      <c r="C21" s="27">
        <f>SUMIF(Data!E:E,B21,Data!F:F)</f>
        <v>60</v>
      </c>
      <c r="D21" s="28"/>
      <c r="E21" s="29" t="s">
        <v>14</v>
      </c>
      <c r="F21" s="30"/>
      <c r="G21" s="31"/>
      <c r="H21" s="32">
        <f t="shared" si="4"/>
        <v>0</v>
      </c>
      <c r="J21" s="47">
        <f t="shared" si="0"/>
        <v>0</v>
      </c>
      <c r="K21" s="48">
        <f>SUMIF(Data!E:E,'มหาชัย(2)'!B21,Data!F:F)*J21</f>
        <v>0</v>
      </c>
      <c r="L21" s="49">
        <f t="shared" si="1"/>
        <v>0</v>
      </c>
      <c r="M21" s="50">
        <f t="shared" si="2"/>
        <v>0</v>
      </c>
      <c r="N21" s="33" t="e">
        <f>INDEX(Data!C:C,MATCH(F17,Data!B:B,0))</f>
        <v>#N/A</v>
      </c>
      <c r="O21" s="51" t="e">
        <f t="shared" si="3"/>
        <v>#N/A</v>
      </c>
    </row>
    <row r="22" spans="1:15" ht="44.45" customHeight="1" x14ac:dyDescent="0.2">
      <c r="A22" s="36">
        <v>15</v>
      </c>
      <c r="B22" s="26" t="s">
        <v>94</v>
      </c>
      <c r="C22" s="27">
        <f>SUMIF(Data!E:E,B22,Data!F:F)</f>
        <v>55</v>
      </c>
      <c r="D22" s="28"/>
      <c r="E22" s="29" t="s">
        <v>14</v>
      </c>
      <c r="F22" s="30"/>
      <c r="G22" s="31"/>
      <c r="H22" s="32">
        <f t="shared" si="4"/>
        <v>0</v>
      </c>
      <c r="J22" s="47">
        <f t="shared" si="0"/>
        <v>0</v>
      </c>
      <c r="K22" s="48">
        <f>SUMIF(Data!E:E,'มหาชัย(2)'!B22,Data!F:F)*J22</f>
        <v>0</v>
      </c>
      <c r="L22" s="49">
        <f t="shared" si="1"/>
        <v>0</v>
      </c>
      <c r="M22" s="50">
        <f t="shared" si="2"/>
        <v>0</v>
      </c>
      <c r="N22" s="33" t="e">
        <f>INDEX(Data!C:C,MATCH(F18,Data!B:B,0))</f>
        <v>#N/A</v>
      </c>
      <c r="O22" s="51" t="e">
        <f t="shared" si="3"/>
        <v>#N/A</v>
      </c>
    </row>
    <row r="23" spans="1:15" ht="44.45" customHeight="1" x14ac:dyDescent="0.2">
      <c r="A23" s="36">
        <v>16</v>
      </c>
      <c r="B23" s="26" t="s">
        <v>95</v>
      </c>
      <c r="C23" s="27">
        <f>SUMIF(Data!E:E,B23,Data!F:F)</f>
        <v>50</v>
      </c>
      <c r="D23" s="28"/>
      <c r="E23" s="29" t="s">
        <v>14</v>
      </c>
      <c r="F23" s="30"/>
      <c r="G23" s="31"/>
      <c r="H23" s="32">
        <f t="shared" si="4"/>
        <v>0</v>
      </c>
      <c r="J23" s="47">
        <f t="shared" si="0"/>
        <v>0</v>
      </c>
      <c r="K23" s="48">
        <f>SUMIF(Data!E:E,'มหาชัย(2)'!B23,Data!F:F)*J23</f>
        <v>0</v>
      </c>
      <c r="L23" s="49">
        <f t="shared" si="1"/>
        <v>0</v>
      </c>
      <c r="M23" s="50">
        <f t="shared" si="2"/>
        <v>0</v>
      </c>
      <c r="N23" s="33" t="e">
        <f>INDEX(Data!C:C,MATCH(F19,Data!B:B,0))</f>
        <v>#N/A</v>
      </c>
      <c r="O23" s="51" t="e">
        <f t="shared" si="3"/>
        <v>#N/A</v>
      </c>
    </row>
    <row r="24" spans="1:15" ht="44.45" customHeight="1" x14ac:dyDescent="0.2">
      <c r="A24" s="36">
        <v>17</v>
      </c>
      <c r="B24" s="26" t="s">
        <v>98</v>
      </c>
      <c r="C24" s="27">
        <f>SUMIF(Data!E:E,B24,Data!F:F)</f>
        <v>55</v>
      </c>
      <c r="D24" s="28"/>
      <c r="E24" s="29" t="s">
        <v>14</v>
      </c>
      <c r="F24" s="30"/>
      <c r="G24" s="31"/>
      <c r="H24" s="32">
        <f t="shared" si="4"/>
        <v>0</v>
      </c>
      <c r="J24" s="47">
        <f t="shared" si="0"/>
        <v>0</v>
      </c>
      <c r="K24" s="48">
        <f>SUMIF(Data!E:E,'มหาชัย(2)'!B24,Data!F:F)*J24</f>
        <v>0</v>
      </c>
      <c r="L24" s="49">
        <f t="shared" si="1"/>
        <v>0</v>
      </c>
      <c r="M24" s="50">
        <f t="shared" si="2"/>
        <v>0</v>
      </c>
      <c r="N24" s="33" t="e">
        <f>INDEX(Data!C:C,MATCH(F20,Data!B:B,0))</f>
        <v>#N/A</v>
      </c>
      <c r="O24" s="51" t="e">
        <f t="shared" si="3"/>
        <v>#N/A</v>
      </c>
    </row>
    <row r="25" spans="1:15" ht="44.45" customHeight="1" x14ac:dyDescent="0.2">
      <c r="A25" s="36">
        <v>18</v>
      </c>
      <c r="B25" s="26" t="s">
        <v>99</v>
      </c>
      <c r="C25" s="27">
        <f>SUMIF(Data!E:E,B25,Data!F:F)</f>
        <v>55</v>
      </c>
      <c r="D25" s="28"/>
      <c r="E25" s="29" t="s">
        <v>14</v>
      </c>
      <c r="F25" s="30"/>
      <c r="G25" s="31"/>
      <c r="H25" s="32">
        <f t="shared" si="4"/>
        <v>0</v>
      </c>
      <c r="J25" s="47">
        <f t="shared" si="0"/>
        <v>0</v>
      </c>
      <c r="K25" s="48">
        <f>SUMIF(Data!E:E,'มหาชัย(2)'!B25,Data!F:F)*J25</f>
        <v>0</v>
      </c>
      <c r="L25" s="49">
        <f t="shared" si="1"/>
        <v>0</v>
      </c>
      <c r="M25" s="50">
        <f t="shared" si="2"/>
        <v>0</v>
      </c>
      <c r="N25" s="33" t="e">
        <f>INDEX(Data!C:C,MATCH(F21,Data!B:B,0))</f>
        <v>#N/A</v>
      </c>
      <c r="O25" s="51" t="e">
        <f t="shared" si="3"/>
        <v>#N/A</v>
      </c>
    </row>
    <row r="26" spans="1:15" ht="44.45" customHeight="1" x14ac:dyDescent="0.2">
      <c r="A26" s="36">
        <v>19</v>
      </c>
      <c r="B26" s="26" t="s">
        <v>100</v>
      </c>
      <c r="C26" s="27">
        <f>SUMIF(Data!E:E,B26,Data!F:F)</f>
        <v>81</v>
      </c>
      <c r="D26" s="28"/>
      <c r="E26" s="29" t="s">
        <v>14</v>
      </c>
      <c r="F26" s="30"/>
      <c r="G26" s="31"/>
      <c r="H26" s="32">
        <f t="shared" si="4"/>
        <v>0</v>
      </c>
      <c r="J26" s="47">
        <f t="shared" si="0"/>
        <v>0</v>
      </c>
      <c r="K26" s="48">
        <f>SUMIF(Data!E:E,'มหาชัย(2)'!B26,Data!F:F)*J26</f>
        <v>0</v>
      </c>
      <c r="L26" s="49">
        <f t="shared" si="1"/>
        <v>0</v>
      </c>
      <c r="M26" s="50">
        <f t="shared" si="2"/>
        <v>0</v>
      </c>
      <c r="N26" s="33" t="e">
        <f>INDEX(Data!C:C,MATCH(F22,Data!B:B,0))</f>
        <v>#N/A</v>
      </c>
      <c r="O26" s="51" t="e">
        <f t="shared" si="3"/>
        <v>#N/A</v>
      </c>
    </row>
    <row r="27" spans="1:15" ht="54.6" customHeight="1" x14ac:dyDescent="0.2">
      <c r="A27" s="60" t="s">
        <v>5</v>
      </c>
      <c r="B27" s="60"/>
      <c r="C27" s="40"/>
      <c r="D27" s="41"/>
      <c r="E27" s="42"/>
      <c r="F27" s="42"/>
      <c r="G27" s="42"/>
      <c r="H27" s="1"/>
      <c r="J27" s="14" t="s">
        <v>39</v>
      </c>
      <c r="K27" s="14" t="s">
        <v>41</v>
      </c>
      <c r="L27" s="14" t="s">
        <v>57</v>
      </c>
    </row>
    <row r="28" spans="1:15" ht="20.100000000000001" customHeight="1" x14ac:dyDescent="0.2">
      <c r="J28" s="13">
        <f>SUM($J$8:$J$26)</f>
        <v>0</v>
      </c>
      <c r="K28" s="13">
        <f>SUM($L$8:$L$26)</f>
        <v>0</v>
      </c>
      <c r="L28" s="13">
        <f>SUM(J28:K28)</f>
        <v>0</v>
      </c>
    </row>
    <row r="29" spans="1:15" ht="20.100000000000001" customHeight="1" x14ac:dyDescent="0.2">
      <c r="L29" s="13"/>
    </row>
    <row r="30" spans="1:15" ht="61.5" customHeight="1" x14ac:dyDescent="0.25">
      <c r="A30" s="8"/>
      <c r="B30" s="9" t="s">
        <v>29</v>
      </c>
      <c r="C30" s="9"/>
      <c r="G30" s="8" t="s">
        <v>31</v>
      </c>
      <c r="K30" s="20" t="s">
        <v>72</v>
      </c>
      <c r="L30" s="21">
        <f>SUM('หาดใหญ่(1):สุราษฎร์ธานี(1)'!L28)</f>
        <v>0</v>
      </c>
      <c r="N30" s="8"/>
      <c r="O30" s="8"/>
    </row>
    <row r="31" spans="1:15" ht="61.5" customHeight="1" x14ac:dyDescent="0.25">
      <c r="A31" s="8"/>
      <c r="B31" s="8" t="s">
        <v>28</v>
      </c>
      <c r="C31" s="8"/>
      <c r="F31" s="8"/>
      <c r="G31" s="8" t="s">
        <v>32</v>
      </c>
      <c r="H31" s="8"/>
      <c r="K31" s="20" t="s">
        <v>73</v>
      </c>
      <c r="L31" s="21">
        <f>L30/200</f>
        <v>0</v>
      </c>
      <c r="N31" s="8"/>
      <c r="O31" s="8"/>
    </row>
    <row r="32" spans="1:15" ht="61.5" customHeight="1" x14ac:dyDescent="0.25">
      <c r="A32" s="8"/>
      <c r="B32" s="8" t="s">
        <v>30</v>
      </c>
      <c r="C32" s="8"/>
      <c r="F32" s="8"/>
      <c r="G32" s="8" t="s">
        <v>33</v>
      </c>
      <c r="H32" s="9"/>
      <c r="J32" s="11"/>
      <c r="L32" s="9"/>
      <c r="N32" s="9"/>
      <c r="O32" s="9"/>
    </row>
    <row r="33" ht="20.100000000000001" customHeight="1" x14ac:dyDescent="0.2"/>
    <row r="34" ht="20.100000000000001" customHeight="1" x14ac:dyDescent="0.2"/>
    <row r="35" ht="20.100000000000001" customHeight="1" x14ac:dyDescent="0.2"/>
    <row r="36" ht="20.100000000000001" customHeight="1" x14ac:dyDescent="0.2"/>
    <row r="37" ht="20.100000000000001" customHeight="1" x14ac:dyDescent="0.2"/>
    <row r="38" ht="20.100000000000001" customHeight="1" x14ac:dyDescent="0.2"/>
    <row r="39" ht="20.100000000000001" customHeight="1" x14ac:dyDescent="0.2"/>
    <row r="40" ht="20.100000000000001" customHeight="1" x14ac:dyDescent="0.2"/>
    <row r="41" ht="20.100000000000001" customHeight="1" x14ac:dyDescent="0.2"/>
  </sheetData>
  <mergeCells count="13">
    <mergeCell ref="J5:M5"/>
    <mergeCell ref="D6:E6"/>
    <mergeCell ref="J6:K6"/>
    <mergeCell ref="L6:M6"/>
    <mergeCell ref="A27:B27"/>
    <mergeCell ref="A1:F2"/>
    <mergeCell ref="A3:H3"/>
    <mergeCell ref="D4:E4"/>
    <mergeCell ref="F4:H4"/>
    <mergeCell ref="A5:A6"/>
    <mergeCell ref="B5:B6"/>
    <mergeCell ref="D5:E5"/>
    <mergeCell ref="F5:H6"/>
  </mergeCells>
  <conditionalFormatting sqref="H8:H26">
    <cfRule type="cellIs" dxfId="101" priority="5" operator="lessThan">
      <formula>-1</formula>
    </cfRule>
    <cfRule type="cellIs" dxfId="100" priority="6" operator="equal">
      <formula>"-"</formula>
    </cfRule>
  </conditionalFormatting>
  <conditionalFormatting sqref="J8:O26">
    <cfRule type="containsErrors" dxfId="99" priority="4">
      <formula>ISERROR(J8)</formula>
    </cfRule>
  </conditionalFormatting>
  <conditionalFormatting sqref="O8:O26">
    <cfRule type="cellIs" dxfId="98" priority="1" operator="lessThan">
      <formula>0</formula>
    </cfRule>
    <cfRule type="cellIs" dxfId="97" priority="2" operator="greaterThan">
      <formula>15</formula>
    </cfRule>
    <cfRule type="cellIs" dxfId="96" priority="3" operator="lessThan">
      <formula>16</formula>
    </cfRule>
  </conditionalFormatting>
  <pageMargins left="0.7" right="0.7" top="0.75" bottom="0.75" header="0.3" footer="0.3"/>
  <pageSetup paperSize="9" scale="38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A60AA4D-988B-4BE8-A340-9364A5210A6A}">
          <x14:formula1>
            <xm:f>Data!$B$2:$B$22</xm:f>
          </x14:formula1>
          <xm:sqref>F4</xm:sqref>
        </x14:dataValidation>
        <x14:dataValidation type="list" allowBlank="1" showInputMessage="1" showErrorMessage="1" xr:uid="{F1DDD05B-65E7-4920-A851-A2927C7C39D5}">
          <x14:formula1>
            <xm:f>Data!$G$2:$G$6</xm:f>
          </x14:formula1>
          <xm:sqref>E8:E26</xm:sqref>
        </x14:dataValidation>
        <x14:dataValidation type="list" allowBlank="1" showInputMessage="1" showErrorMessage="1" xr:uid="{802152BB-057A-4577-BEF2-B3478E90CFD2}">
          <x14:formula1>
            <xm:f>Data!$E$2:$E$37</xm:f>
          </x14:formula1>
          <xm:sqref>B8:B26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607F2-3D68-4E08-9C58-F95F1B3A0D12}">
  <sheetPr>
    <tabColor rgb="FF92D050"/>
    <pageSetUpPr fitToPage="1"/>
  </sheetPr>
  <dimension ref="A1:O41"/>
  <sheetViews>
    <sheetView tabSelected="1" topLeftCell="A10" zoomScale="55" zoomScaleNormal="55" zoomScaleSheetLayoutView="50" workbookViewId="0">
      <selection activeCell="B26" sqref="B26"/>
    </sheetView>
  </sheetViews>
  <sheetFormatPr defaultRowHeight="14.25" x14ac:dyDescent="0.2"/>
  <cols>
    <col min="2" max="2" width="60.875" customWidth="1"/>
    <col min="3" max="3" width="9.375" customWidth="1"/>
    <col min="4" max="4" width="19.625" customWidth="1"/>
    <col min="5" max="5" width="10.375" customWidth="1"/>
    <col min="6" max="7" width="22.125" customWidth="1"/>
    <col min="8" max="8" width="20.875" customWidth="1"/>
    <col min="9" max="9" width="1.875" customWidth="1"/>
    <col min="10" max="13" width="13.875" customWidth="1"/>
    <col min="14" max="14" width="8.75" customWidth="1"/>
    <col min="15" max="15" width="18.125" customWidth="1"/>
  </cols>
  <sheetData>
    <row r="1" spans="1:15" ht="39.6" customHeight="1" x14ac:dyDescent="0.2">
      <c r="A1" s="61" t="s">
        <v>19</v>
      </c>
      <c r="B1" s="61"/>
      <c r="C1" s="61"/>
      <c r="D1" s="61"/>
      <c r="E1" s="61"/>
      <c r="F1" s="61"/>
      <c r="G1" s="6" t="s">
        <v>17</v>
      </c>
      <c r="H1" s="5" t="s">
        <v>58</v>
      </c>
    </row>
    <row r="2" spans="1:15" ht="40.5" customHeight="1" thickBot="1" x14ac:dyDescent="0.25">
      <c r="A2" s="62"/>
      <c r="B2" s="62"/>
      <c r="C2" s="62"/>
      <c r="D2" s="62"/>
      <c r="E2" s="62"/>
      <c r="F2" s="62"/>
      <c r="G2" s="6" t="s">
        <v>27</v>
      </c>
      <c r="H2" s="15"/>
    </row>
    <row r="3" spans="1:15" ht="48.6" customHeight="1" x14ac:dyDescent="0.2">
      <c r="A3" s="63" t="s">
        <v>1</v>
      </c>
      <c r="B3" s="64"/>
      <c r="C3" s="64"/>
      <c r="D3" s="64"/>
      <c r="E3" s="64"/>
      <c r="F3" s="64"/>
      <c r="G3" s="64"/>
      <c r="H3" s="65"/>
    </row>
    <row r="4" spans="1:15" ht="54.95" customHeight="1" x14ac:dyDescent="0.2">
      <c r="A4" s="33" t="s">
        <v>0</v>
      </c>
      <c r="B4" s="34" t="s">
        <v>21</v>
      </c>
      <c r="C4" s="35"/>
      <c r="D4" s="66" t="s">
        <v>6</v>
      </c>
      <c r="E4" s="66"/>
      <c r="F4" s="57" t="s">
        <v>50</v>
      </c>
      <c r="G4" s="57"/>
      <c r="H4" s="57"/>
    </row>
    <row r="5" spans="1:15" ht="30.95" customHeight="1" x14ac:dyDescent="0.2">
      <c r="A5" s="55" t="s">
        <v>2</v>
      </c>
      <c r="B5" s="67"/>
      <c r="C5" s="37"/>
      <c r="D5" s="55" t="s">
        <v>18</v>
      </c>
      <c r="E5" s="55"/>
      <c r="F5" s="68"/>
      <c r="G5" s="68"/>
      <c r="H5" s="68"/>
      <c r="J5" s="55" t="s">
        <v>38</v>
      </c>
      <c r="K5" s="55"/>
      <c r="L5" s="55"/>
      <c r="M5" s="55"/>
    </row>
    <row r="6" spans="1:15" ht="30.6" customHeight="1" x14ac:dyDescent="0.2">
      <c r="A6" s="55"/>
      <c r="B6" s="67"/>
      <c r="C6" s="37"/>
      <c r="D6" s="56"/>
      <c r="E6" s="57"/>
      <c r="F6" s="68"/>
      <c r="G6" s="68"/>
      <c r="H6" s="68"/>
      <c r="J6" s="58" t="s">
        <v>39</v>
      </c>
      <c r="K6" s="58"/>
      <c r="L6" s="59" t="s">
        <v>41</v>
      </c>
      <c r="M6" s="59"/>
    </row>
    <row r="7" spans="1:15" s="7" customFormat="1" ht="36.6" customHeight="1" x14ac:dyDescent="0.25">
      <c r="A7" s="38" t="s">
        <v>3</v>
      </c>
      <c r="B7" s="38" t="s">
        <v>4</v>
      </c>
      <c r="C7" s="38" t="s">
        <v>42</v>
      </c>
      <c r="D7" s="38" t="s">
        <v>11</v>
      </c>
      <c r="E7" s="38" t="s">
        <v>12</v>
      </c>
      <c r="F7" s="38" t="s">
        <v>9</v>
      </c>
      <c r="G7" s="38" t="s">
        <v>10</v>
      </c>
      <c r="H7" s="39" t="s">
        <v>24</v>
      </c>
      <c r="J7" s="43" t="s">
        <v>40</v>
      </c>
      <c r="K7" s="44" t="s">
        <v>14</v>
      </c>
      <c r="L7" s="45" t="s">
        <v>40</v>
      </c>
      <c r="M7" s="46" t="s">
        <v>14</v>
      </c>
      <c r="N7" s="42" t="s">
        <v>25</v>
      </c>
      <c r="O7" s="42" t="s">
        <v>26</v>
      </c>
    </row>
    <row r="8" spans="1:15" ht="44.45" customHeight="1" x14ac:dyDescent="0.2">
      <c r="A8" s="36">
        <v>1</v>
      </c>
      <c r="B8" s="26" t="s">
        <v>77</v>
      </c>
      <c r="C8" s="27">
        <f>SUMIF(Data!E:E,B8,Data!F:F)</f>
        <v>42</v>
      </c>
      <c r="D8" s="28"/>
      <c r="E8" s="29" t="s">
        <v>14</v>
      </c>
      <c r="F8" s="30"/>
      <c r="G8" s="31"/>
      <c r="H8" s="32">
        <f>+G8-$D$6</f>
        <v>0</v>
      </c>
      <c r="J8" s="47">
        <f t="shared" ref="J8:J26" si="0">ROUNDDOWN((D8/C8),0)</f>
        <v>0</v>
      </c>
      <c r="K8" s="48">
        <f>SUMIF(Data!E:E,'มหาชัย(2)'!B8,Data!F:F)*J8</f>
        <v>0</v>
      </c>
      <c r="L8" s="49">
        <f t="shared" ref="L8:L26" si="1">ROUNDUP((M8/C8),0)</f>
        <v>0</v>
      </c>
      <c r="M8" s="50">
        <f t="shared" ref="M8:M26" si="2">D8-K8</f>
        <v>0</v>
      </c>
      <c r="N8" s="33">
        <f>INDEX(Data!C:C,MATCH(F4,Data!B:B,0))</f>
        <v>60</v>
      </c>
      <c r="O8" s="51">
        <f t="shared" ref="O8:O26" si="3">H8-N8</f>
        <v>-60</v>
      </c>
    </row>
    <row r="9" spans="1:15" ht="44.45" customHeight="1" x14ac:dyDescent="0.2">
      <c r="A9" s="36">
        <v>2</v>
      </c>
      <c r="B9" s="26" t="s">
        <v>66</v>
      </c>
      <c r="C9" s="27">
        <f>SUMIF(Data!E:E,B9,Data!F:F)</f>
        <v>36</v>
      </c>
      <c r="D9" s="28"/>
      <c r="E9" s="29" t="s">
        <v>14</v>
      </c>
      <c r="F9" s="30"/>
      <c r="G9" s="31"/>
      <c r="H9" s="32">
        <f t="shared" ref="H9:H26" si="4">+G9-$D$6</f>
        <v>0</v>
      </c>
      <c r="J9" s="47">
        <f t="shared" si="0"/>
        <v>0</v>
      </c>
      <c r="K9" s="48">
        <f>SUMIF(Data!E:E,'มหาชัย(2)'!B9,Data!F:F)*J9</f>
        <v>0</v>
      </c>
      <c r="L9" s="49">
        <f t="shared" si="1"/>
        <v>0</v>
      </c>
      <c r="M9" s="50">
        <f t="shared" si="2"/>
        <v>0</v>
      </c>
      <c r="N9" s="33" t="e">
        <f>INDEX(Data!C:C,MATCH(F5,Data!B:B,0))</f>
        <v>#N/A</v>
      </c>
      <c r="O9" s="51" t="e">
        <f t="shared" si="3"/>
        <v>#N/A</v>
      </c>
    </row>
    <row r="10" spans="1:15" ht="44.45" customHeight="1" x14ac:dyDescent="0.2">
      <c r="A10" s="36">
        <v>3</v>
      </c>
      <c r="B10" s="26" t="s">
        <v>79</v>
      </c>
      <c r="C10" s="27">
        <f>SUMIF(Data!E:E,B10,Data!F:F)</f>
        <v>42</v>
      </c>
      <c r="D10" s="28"/>
      <c r="E10" s="29" t="s">
        <v>14</v>
      </c>
      <c r="F10" s="30"/>
      <c r="G10" s="31"/>
      <c r="H10" s="32">
        <f t="shared" si="4"/>
        <v>0</v>
      </c>
      <c r="J10" s="47">
        <f t="shared" si="0"/>
        <v>0</v>
      </c>
      <c r="K10" s="48">
        <f>SUMIF(Data!E:E,'มหาชัย(2)'!B10,Data!F:F)*J10</f>
        <v>0</v>
      </c>
      <c r="L10" s="49">
        <f t="shared" si="1"/>
        <v>0</v>
      </c>
      <c r="M10" s="50">
        <f t="shared" si="2"/>
        <v>0</v>
      </c>
      <c r="N10" s="33" t="e">
        <f>INDEX(Data!C:C,MATCH(F6,Data!B:B,0))</f>
        <v>#N/A</v>
      </c>
      <c r="O10" s="51" t="e">
        <f t="shared" si="3"/>
        <v>#N/A</v>
      </c>
    </row>
    <row r="11" spans="1:15" ht="44.45" customHeight="1" x14ac:dyDescent="0.2">
      <c r="A11" s="36">
        <v>4</v>
      </c>
      <c r="B11" s="26" t="s">
        <v>80</v>
      </c>
      <c r="C11" s="27">
        <f>SUMIF(Data!E:E,B11,Data!F:F)</f>
        <v>50</v>
      </c>
      <c r="D11" s="28"/>
      <c r="E11" s="29" t="s">
        <v>14</v>
      </c>
      <c r="F11" s="30"/>
      <c r="G11" s="31"/>
      <c r="H11" s="32">
        <f t="shared" si="4"/>
        <v>0</v>
      </c>
      <c r="J11" s="47">
        <f t="shared" si="0"/>
        <v>0</v>
      </c>
      <c r="K11" s="48">
        <f>SUMIF(Data!E:E,'มหาชัย(2)'!B11,Data!F:F)*J11</f>
        <v>0</v>
      </c>
      <c r="L11" s="49">
        <f t="shared" si="1"/>
        <v>0</v>
      </c>
      <c r="M11" s="50">
        <f t="shared" si="2"/>
        <v>0</v>
      </c>
      <c r="N11" s="33" t="e">
        <f>INDEX(Data!C:C,MATCH(F7,Data!B:B,0))</f>
        <v>#N/A</v>
      </c>
      <c r="O11" s="51" t="e">
        <f t="shared" si="3"/>
        <v>#N/A</v>
      </c>
    </row>
    <row r="12" spans="1:15" ht="44.45" customHeight="1" x14ac:dyDescent="0.2">
      <c r="A12" s="36">
        <v>5</v>
      </c>
      <c r="B12" s="26" t="s">
        <v>71</v>
      </c>
      <c r="C12" s="27">
        <f>SUMIF(Data!E:E,B12,Data!F:F)</f>
        <v>81</v>
      </c>
      <c r="D12" s="28"/>
      <c r="E12" s="29" t="s">
        <v>14</v>
      </c>
      <c r="F12" s="30"/>
      <c r="G12" s="31"/>
      <c r="H12" s="32">
        <f t="shared" si="4"/>
        <v>0</v>
      </c>
      <c r="J12" s="47">
        <f t="shared" si="0"/>
        <v>0</v>
      </c>
      <c r="K12" s="48">
        <f>SUMIF(Data!E:E,'มหาชัย(2)'!B12,Data!F:F)*J12</f>
        <v>0</v>
      </c>
      <c r="L12" s="49">
        <f t="shared" si="1"/>
        <v>0</v>
      </c>
      <c r="M12" s="50">
        <f t="shared" si="2"/>
        <v>0</v>
      </c>
      <c r="N12" s="33" t="e">
        <f>INDEX(Data!C:C,MATCH(F8,Data!B:B,0))</f>
        <v>#N/A</v>
      </c>
      <c r="O12" s="51" t="e">
        <f t="shared" si="3"/>
        <v>#N/A</v>
      </c>
    </row>
    <row r="13" spans="1:15" ht="44.45" customHeight="1" x14ac:dyDescent="0.2">
      <c r="A13" s="36">
        <v>6</v>
      </c>
      <c r="B13" s="26" t="s">
        <v>84</v>
      </c>
      <c r="C13" s="27">
        <f>SUMIF(Data!E:E,B13,Data!F:F)</f>
        <v>42</v>
      </c>
      <c r="D13" s="28"/>
      <c r="E13" s="29" t="s">
        <v>14</v>
      </c>
      <c r="F13" s="30"/>
      <c r="G13" s="31"/>
      <c r="H13" s="32">
        <f t="shared" si="4"/>
        <v>0</v>
      </c>
      <c r="J13" s="47">
        <f t="shared" si="0"/>
        <v>0</v>
      </c>
      <c r="K13" s="48">
        <f>SUMIF(Data!E:E,'มหาชัย(2)'!B13,Data!F:F)*J13</f>
        <v>0</v>
      </c>
      <c r="L13" s="49">
        <f t="shared" si="1"/>
        <v>0</v>
      </c>
      <c r="M13" s="50">
        <f t="shared" si="2"/>
        <v>0</v>
      </c>
      <c r="N13" s="33" t="e">
        <f>INDEX(Data!C:C,MATCH(F9,Data!B:B,0))</f>
        <v>#N/A</v>
      </c>
      <c r="O13" s="51" t="e">
        <f t="shared" si="3"/>
        <v>#N/A</v>
      </c>
    </row>
    <row r="14" spans="1:15" ht="44.45" customHeight="1" x14ac:dyDescent="0.2">
      <c r="A14" s="36">
        <v>7</v>
      </c>
      <c r="B14" s="26" t="s">
        <v>85</v>
      </c>
      <c r="C14" s="27">
        <f>SUMIF(Data!E:E,B14,Data!F:F)</f>
        <v>32</v>
      </c>
      <c r="D14" s="28"/>
      <c r="E14" s="29" t="s">
        <v>14</v>
      </c>
      <c r="F14" s="30"/>
      <c r="G14" s="31"/>
      <c r="H14" s="32">
        <f t="shared" si="4"/>
        <v>0</v>
      </c>
      <c r="J14" s="47">
        <f t="shared" si="0"/>
        <v>0</v>
      </c>
      <c r="K14" s="48">
        <f>SUMIF(Data!E:E,'มหาชัย(2)'!B14,Data!F:F)*J14</f>
        <v>0</v>
      </c>
      <c r="L14" s="49">
        <f t="shared" si="1"/>
        <v>0</v>
      </c>
      <c r="M14" s="50">
        <f t="shared" si="2"/>
        <v>0</v>
      </c>
      <c r="N14" s="33" t="e">
        <f>INDEX(Data!C:C,MATCH(F10,Data!B:B,0))</f>
        <v>#N/A</v>
      </c>
      <c r="O14" s="51" t="e">
        <f t="shared" si="3"/>
        <v>#N/A</v>
      </c>
    </row>
    <row r="15" spans="1:15" ht="44.45" customHeight="1" x14ac:dyDescent="0.2">
      <c r="A15" s="36">
        <v>8</v>
      </c>
      <c r="B15" s="26" t="s">
        <v>76</v>
      </c>
      <c r="C15" s="27">
        <f>SUMIF(Data!E:E,B15,Data!F:F)</f>
        <v>70</v>
      </c>
      <c r="D15" s="28"/>
      <c r="E15" s="29" t="s">
        <v>14</v>
      </c>
      <c r="F15" s="30"/>
      <c r="G15" s="31"/>
      <c r="H15" s="32">
        <f t="shared" si="4"/>
        <v>0</v>
      </c>
      <c r="J15" s="47">
        <f t="shared" si="0"/>
        <v>0</v>
      </c>
      <c r="K15" s="48">
        <f>SUMIF(Data!E:E,'มหาชัย(2)'!B15,Data!F:F)*J15</f>
        <v>0</v>
      </c>
      <c r="L15" s="49">
        <f t="shared" si="1"/>
        <v>0</v>
      </c>
      <c r="M15" s="50">
        <f t="shared" si="2"/>
        <v>0</v>
      </c>
      <c r="N15" s="33" t="e">
        <f>INDEX(Data!C:C,MATCH(F11,Data!B:B,0))</f>
        <v>#N/A</v>
      </c>
      <c r="O15" s="51" t="e">
        <f t="shared" si="3"/>
        <v>#N/A</v>
      </c>
    </row>
    <row r="16" spans="1:15" ht="44.45" customHeight="1" x14ac:dyDescent="0.2">
      <c r="A16" s="36">
        <v>9</v>
      </c>
      <c r="B16" s="26" t="s">
        <v>89</v>
      </c>
      <c r="C16" s="27">
        <f>SUMIF(Data!E:E,B16,Data!F:F)</f>
        <v>45</v>
      </c>
      <c r="D16" s="28"/>
      <c r="E16" s="29" t="s">
        <v>14</v>
      </c>
      <c r="F16" s="30"/>
      <c r="G16" s="31"/>
      <c r="H16" s="32">
        <f t="shared" si="4"/>
        <v>0</v>
      </c>
      <c r="J16" s="47">
        <f t="shared" si="0"/>
        <v>0</v>
      </c>
      <c r="K16" s="48">
        <f>SUMIF(Data!E:E,'มหาชัย(2)'!B16,Data!F:F)*J16</f>
        <v>0</v>
      </c>
      <c r="L16" s="49">
        <f t="shared" si="1"/>
        <v>0</v>
      </c>
      <c r="M16" s="50">
        <f t="shared" si="2"/>
        <v>0</v>
      </c>
      <c r="N16" s="33" t="e">
        <f>INDEX(Data!C:C,MATCH(F12,Data!B:B,0))</f>
        <v>#N/A</v>
      </c>
      <c r="O16" s="51" t="e">
        <f t="shared" si="3"/>
        <v>#N/A</v>
      </c>
    </row>
    <row r="17" spans="1:15" ht="44.45" customHeight="1" x14ac:dyDescent="0.2">
      <c r="A17" s="36">
        <v>10</v>
      </c>
      <c r="B17" s="26" t="s">
        <v>88</v>
      </c>
      <c r="C17" s="27">
        <f>SUMIF(Data!E:E,B17,Data!F:F)</f>
        <v>48</v>
      </c>
      <c r="D17" s="28"/>
      <c r="E17" s="29" t="s">
        <v>14</v>
      </c>
      <c r="F17" s="30"/>
      <c r="G17" s="31"/>
      <c r="H17" s="32">
        <f t="shared" si="4"/>
        <v>0</v>
      </c>
      <c r="J17" s="47">
        <f t="shared" si="0"/>
        <v>0</v>
      </c>
      <c r="K17" s="48">
        <f>SUMIF(Data!E:E,'มหาชัย(2)'!B17,Data!F:F)*J17</f>
        <v>0</v>
      </c>
      <c r="L17" s="49">
        <f t="shared" si="1"/>
        <v>0</v>
      </c>
      <c r="M17" s="50">
        <f t="shared" si="2"/>
        <v>0</v>
      </c>
      <c r="N17" s="33" t="e">
        <f>INDEX(Data!C:C,MATCH(F13,Data!B:B,0))</f>
        <v>#N/A</v>
      </c>
      <c r="O17" s="51" t="e">
        <f t="shared" si="3"/>
        <v>#N/A</v>
      </c>
    </row>
    <row r="18" spans="1:15" ht="44.45" customHeight="1" x14ac:dyDescent="0.2">
      <c r="A18" s="36">
        <v>11</v>
      </c>
      <c r="B18" s="26" t="s">
        <v>87</v>
      </c>
      <c r="C18" s="27">
        <f>SUMIF(Data!E:E,B18,Data!F:F)</f>
        <v>48</v>
      </c>
      <c r="D18" s="28"/>
      <c r="E18" s="29" t="s">
        <v>14</v>
      </c>
      <c r="F18" s="30"/>
      <c r="G18" s="31"/>
      <c r="H18" s="32">
        <f t="shared" si="4"/>
        <v>0</v>
      </c>
      <c r="J18" s="47">
        <f t="shared" si="0"/>
        <v>0</v>
      </c>
      <c r="K18" s="48">
        <f>SUMIF(Data!E:E,'มหาชัย(2)'!B18,Data!F:F)*J18</f>
        <v>0</v>
      </c>
      <c r="L18" s="49">
        <f t="shared" si="1"/>
        <v>0</v>
      </c>
      <c r="M18" s="50">
        <f t="shared" si="2"/>
        <v>0</v>
      </c>
      <c r="N18" s="33" t="e">
        <f>INDEX(Data!C:C,MATCH(F14,Data!B:B,0))</f>
        <v>#N/A</v>
      </c>
      <c r="O18" s="51" t="e">
        <f t="shared" si="3"/>
        <v>#N/A</v>
      </c>
    </row>
    <row r="19" spans="1:15" ht="44.45" customHeight="1" x14ac:dyDescent="0.2">
      <c r="A19" s="36">
        <v>12</v>
      </c>
      <c r="B19" s="26" t="s">
        <v>90</v>
      </c>
      <c r="C19" s="27">
        <f>SUMIF(Data!E:E,B19,Data!F:F)</f>
        <v>60</v>
      </c>
      <c r="D19" s="28"/>
      <c r="E19" s="29" t="s">
        <v>14</v>
      </c>
      <c r="F19" s="30"/>
      <c r="G19" s="31"/>
      <c r="H19" s="32">
        <f t="shared" si="4"/>
        <v>0</v>
      </c>
      <c r="J19" s="47">
        <f t="shared" si="0"/>
        <v>0</v>
      </c>
      <c r="K19" s="48">
        <f>SUMIF(Data!E:E,'มหาชัย(2)'!B19,Data!F:F)*J19</f>
        <v>0</v>
      </c>
      <c r="L19" s="49">
        <f t="shared" si="1"/>
        <v>0</v>
      </c>
      <c r="M19" s="50">
        <f t="shared" si="2"/>
        <v>0</v>
      </c>
      <c r="N19" s="33" t="e">
        <f>INDEX(Data!C:C,MATCH(F15,Data!B:B,0))</f>
        <v>#N/A</v>
      </c>
      <c r="O19" s="51" t="e">
        <f t="shared" si="3"/>
        <v>#N/A</v>
      </c>
    </row>
    <row r="20" spans="1:15" ht="44.45" customHeight="1" x14ac:dyDescent="0.2">
      <c r="A20" s="36">
        <v>13</v>
      </c>
      <c r="B20" s="26" t="s">
        <v>91</v>
      </c>
      <c r="C20" s="27">
        <f>SUMIF(Data!E:E,B20,Data!F:F)</f>
        <v>50</v>
      </c>
      <c r="D20" s="28"/>
      <c r="E20" s="29" t="s">
        <v>14</v>
      </c>
      <c r="F20" s="30"/>
      <c r="G20" s="31"/>
      <c r="H20" s="32">
        <f t="shared" si="4"/>
        <v>0</v>
      </c>
      <c r="J20" s="47">
        <f t="shared" si="0"/>
        <v>0</v>
      </c>
      <c r="K20" s="48">
        <f>SUMIF(Data!E:E,'มหาชัย(2)'!B20,Data!F:F)*J20</f>
        <v>0</v>
      </c>
      <c r="L20" s="49">
        <f t="shared" si="1"/>
        <v>0</v>
      </c>
      <c r="M20" s="50">
        <f t="shared" si="2"/>
        <v>0</v>
      </c>
      <c r="N20" s="33" t="e">
        <f>INDEX(Data!C:C,MATCH(F16,Data!B:B,0))</f>
        <v>#N/A</v>
      </c>
      <c r="O20" s="51" t="e">
        <f t="shared" si="3"/>
        <v>#N/A</v>
      </c>
    </row>
    <row r="21" spans="1:15" ht="44.45" customHeight="1" x14ac:dyDescent="0.2">
      <c r="A21" s="36">
        <v>14</v>
      </c>
      <c r="B21" s="26" t="s">
        <v>93</v>
      </c>
      <c r="C21" s="27">
        <f>SUMIF(Data!E:E,B21,Data!F:F)</f>
        <v>60</v>
      </c>
      <c r="D21" s="28"/>
      <c r="E21" s="29" t="s">
        <v>14</v>
      </c>
      <c r="F21" s="30"/>
      <c r="G21" s="31"/>
      <c r="H21" s="32">
        <f t="shared" si="4"/>
        <v>0</v>
      </c>
      <c r="J21" s="47">
        <f t="shared" si="0"/>
        <v>0</v>
      </c>
      <c r="K21" s="48">
        <f>SUMIF(Data!E:E,'มหาชัย(2)'!B21,Data!F:F)*J21</f>
        <v>0</v>
      </c>
      <c r="L21" s="49">
        <f t="shared" si="1"/>
        <v>0</v>
      </c>
      <c r="M21" s="50">
        <f t="shared" si="2"/>
        <v>0</v>
      </c>
      <c r="N21" s="33" t="e">
        <f>INDEX(Data!C:C,MATCH(F17,Data!B:B,0))</f>
        <v>#N/A</v>
      </c>
      <c r="O21" s="51" t="e">
        <f t="shared" si="3"/>
        <v>#N/A</v>
      </c>
    </row>
    <row r="22" spans="1:15" ht="44.45" customHeight="1" x14ac:dyDescent="0.2">
      <c r="A22" s="36">
        <v>15</v>
      </c>
      <c r="B22" s="26" t="s">
        <v>94</v>
      </c>
      <c r="C22" s="27">
        <f>SUMIF(Data!E:E,B22,Data!F:F)</f>
        <v>55</v>
      </c>
      <c r="D22" s="28"/>
      <c r="E22" s="29" t="s">
        <v>14</v>
      </c>
      <c r="F22" s="30"/>
      <c r="G22" s="31"/>
      <c r="H22" s="32">
        <f t="shared" si="4"/>
        <v>0</v>
      </c>
      <c r="J22" s="47">
        <f t="shared" si="0"/>
        <v>0</v>
      </c>
      <c r="K22" s="48">
        <f>SUMIF(Data!E:E,'มหาชัย(2)'!B22,Data!F:F)*J22</f>
        <v>0</v>
      </c>
      <c r="L22" s="49">
        <f t="shared" si="1"/>
        <v>0</v>
      </c>
      <c r="M22" s="50">
        <f t="shared" si="2"/>
        <v>0</v>
      </c>
      <c r="N22" s="33" t="e">
        <f>INDEX(Data!C:C,MATCH(F18,Data!B:B,0))</f>
        <v>#N/A</v>
      </c>
      <c r="O22" s="51" t="e">
        <f t="shared" si="3"/>
        <v>#N/A</v>
      </c>
    </row>
    <row r="23" spans="1:15" ht="44.45" customHeight="1" x14ac:dyDescent="0.2">
      <c r="A23" s="36">
        <v>16</v>
      </c>
      <c r="B23" s="26" t="s">
        <v>95</v>
      </c>
      <c r="C23" s="27">
        <f>SUMIF(Data!E:E,B23,Data!F:F)</f>
        <v>50</v>
      </c>
      <c r="D23" s="28"/>
      <c r="E23" s="29" t="s">
        <v>14</v>
      </c>
      <c r="F23" s="30"/>
      <c r="G23" s="31"/>
      <c r="H23" s="32">
        <f t="shared" si="4"/>
        <v>0</v>
      </c>
      <c r="J23" s="47">
        <f t="shared" si="0"/>
        <v>0</v>
      </c>
      <c r="K23" s="48">
        <f>SUMIF(Data!E:E,'มหาชัย(2)'!B23,Data!F:F)*J23</f>
        <v>0</v>
      </c>
      <c r="L23" s="49">
        <f t="shared" si="1"/>
        <v>0</v>
      </c>
      <c r="M23" s="50">
        <f t="shared" si="2"/>
        <v>0</v>
      </c>
      <c r="N23" s="33" t="e">
        <f>INDEX(Data!C:C,MATCH(F19,Data!B:B,0))</f>
        <v>#N/A</v>
      </c>
      <c r="O23" s="51" t="e">
        <f t="shared" si="3"/>
        <v>#N/A</v>
      </c>
    </row>
    <row r="24" spans="1:15" ht="44.45" customHeight="1" x14ac:dyDescent="0.2">
      <c r="A24" s="36">
        <v>17</v>
      </c>
      <c r="B24" s="26" t="s">
        <v>98</v>
      </c>
      <c r="C24" s="27">
        <f>SUMIF(Data!E:E,B24,Data!F:F)</f>
        <v>55</v>
      </c>
      <c r="D24" s="28"/>
      <c r="E24" s="29" t="s">
        <v>14</v>
      </c>
      <c r="F24" s="30"/>
      <c r="G24" s="31"/>
      <c r="H24" s="32">
        <f t="shared" si="4"/>
        <v>0</v>
      </c>
      <c r="J24" s="47">
        <f t="shared" si="0"/>
        <v>0</v>
      </c>
      <c r="K24" s="48">
        <f>SUMIF(Data!E:E,'มหาชัย(2)'!B24,Data!F:F)*J24</f>
        <v>0</v>
      </c>
      <c r="L24" s="49">
        <f t="shared" si="1"/>
        <v>0</v>
      </c>
      <c r="M24" s="50">
        <f t="shared" si="2"/>
        <v>0</v>
      </c>
      <c r="N24" s="33" t="e">
        <f>INDEX(Data!C:C,MATCH(F20,Data!B:B,0))</f>
        <v>#N/A</v>
      </c>
      <c r="O24" s="51" t="e">
        <f t="shared" si="3"/>
        <v>#N/A</v>
      </c>
    </row>
    <row r="25" spans="1:15" ht="44.45" customHeight="1" x14ac:dyDescent="0.2">
      <c r="A25" s="36">
        <v>18</v>
      </c>
      <c r="B25" s="26" t="s">
        <v>99</v>
      </c>
      <c r="C25" s="27">
        <f>SUMIF(Data!E:E,B25,Data!F:F)</f>
        <v>55</v>
      </c>
      <c r="D25" s="28"/>
      <c r="E25" s="29" t="s">
        <v>14</v>
      </c>
      <c r="F25" s="30"/>
      <c r="G25" s="31"/>
      <c r="H25" s="32">
        <f t="shared" si="4"/>
        <v>0</v>
      </c>
      <c r="J25" s="47">
        <f t="shared" si="0"/>
        <v>0</v>
      </c>
      <c r="K25" s="48">
        <f>SUMIF(Data!E:E,'มหาชัย(2)'!B25,Data!F:F)*J25</f>
        <v>0</v>
      </c>
      <c r="L25" s="49">
        <f t="shared" si="1"/>
        <v>0</v>
      </c>
      <c r="M25" s="50">
        <f t="shared" si="2"/>
        <v>0</v>
      </c>
      <c r="N25" s="33" t="e">
        <f>INDEX(Data!C:C,MATCH(F21,Data!B:B,0))</f>
        <v>#N/A</v>
      </c>
      <c r="O25" s="51" t="e">
        <f t="shared" si="3"/>
        <v>#N/A</v>
      </c>
    </row>
    <row r="26" spans="1:15" ht="44.45" customHeight="1" x14ac:dyDescent="0.2">
      <c r="A26" s="36">
        <v>19</v>
      </c>
      <c r="B26" s="26" t="s">
        <v>100</v>
      </c>
      <c r="C26" s="27">
        <f>SUMIF(Data!E:E,B26,Data!F:F)</f>
        <v>81</v>
      </c>
      <c r="D26" s="28"/>
      <c r="E26" s="29" t="s">
        <v>14</v>
      </c>
      <c r="F26" s="30"/>
      <c r="G26" s="31"/>
      <c r="H26" s="32">
        <f t="shared" si="4"/>
        <v>0</v>
      </c>
      <c r="J26" s="47">
        <f t="shared" si="0"/>
        <v>0</v>
      </c>
      <c r="K26" s="48">
        <f>SUMIF(Data!E:E,'มหาชัย(2)'!B26,Data!F:F)*J26</f>
        <v>0</v>
      </c>
      <c r="L26" s="49">
        <f t="shared" si="1"/>
        <v>0</v>
      </c>
      <c r="M26" s="50">
        <f t="shared" si="2"/>
        <v>0</v>
      </c>
      <c r="N26" s="33" t="e">
        <f>INDEX(Data!C:C,MATCH(F22,Data!B:B,0))</f>
        <v>#N/A</v>
      </c>
      <c r="O26" s="51" t="e">
        <f t="shared" si="3"/>
        <v>#N/A</v>
      </c>
    </row>
    <row r="27" spans="1:15" ht="54.6" customHeight="1" x14ac:dyDescent="0.2">
      <c r="A27" s="60" t="s">
        <v>5</v>
      </c>
      <c r="B27" s="60"/>
      <c r="C27" s="40"/>
      <c r="D27" s="41"/>
      <c r="E27" s="42"/>
      <c r="F27" s="42"/>
      <c r="G27" s="42"/>
      <c r="H27" s="1"/>
      <c r="J27" s="14" t="s">
        <v>39</v>
      </c>
      <c r="K27" s="14" t="s">
        <v>41</v>
      </c>
      <c r="L27" s="14" t="s">
        <v>57</v>
      </c>
    </row>
    <row r="28" spans="1:15" ht="20.100000000000001" customHeight="1" x14ac:dyDescent="0.2">
      <c r="J28" s="13">
        <f>SUM($J$8:$J$26)</f>
        <v>0</v>
      </c>
      <c r="K28" s="13">
        <f>SUM($L$8:$L$26)</f>
        <v>0</v>
      </c>
      <c r="L28" s="13">
        <f>SUM(J28:K28)</f>
        <v>0</v>
      </c>
    </row>
    <row r="29" spans="1:15" ht="20.100000000000001" customHeight="1" x14ac:dyDescent="0.2">
      <c r="L29" s="13"/>
    </row>
    <row r="30" spans="1:15" ht="61.5" customHeight="1" x14ac:dyDescent="0.25">
      <c r="A30" s="8"/>
      <c r="B30" s="9" t="s">
        <v>29</v>
      </c>
      <c r="C30" s="9"/>
      <c r="G30" s="8" t="s">
        <v>31</v>
      </c>
      <c r="K30" s="11"/>
      <c r="L30" s="8"/>
      <c r="N30" s="8"/>
      <c r="O30" s="8"/>
    </row>
    <row r="31" spans="1:15" ht="61.5" customHeight="1" x14ac:dyDescent="0.25">
      <c r="A31" s="8"/>
      <c r="B31" s="8" t="s">
        <v>28</v>
      </c>
      <c r="C31" s="8"/>
      <c r="F31" s="8"/>
      <c r="G31" s="8" t="s">
        <v>32</v>
      </c>
      <c r="H31" s="8"/>
      <c r="K31" s="11"/>
      <c r="L31" s="8"/>
      <c r="N31" s="8"/>
      <c r="O31" s="8"/>
    </row>
    <row r="32" spans="1:15" ht="61.5" customHeight="1" x14ac:dyDescent="0.25">
      <c r="A32" s="8"/>
      <c r="B32" s="8" t="s">
        <v>30</v>
      </c>
      <c r="C32" s="8"/>
      <c r="F32" s="8"/>
      <c r="G32" s="8" t="s">
        <v>33</v>
      </c>
      <c r="H32" s="9"/>
      <c r="J32" s="11"/>
      <c r="L32" s="9"/>
      <c r="N32" s="9"/>
      <c r="O32" s="9"/>
    </row>
    <row r="33" ht="20.100000000000001" customHeight="1" x14ac:dyDescent="0.2"/>
    <row r="34" ht="20.100000000000001" customHeight="1" x14ac:dyDescent="0.2"/>
    <row r="35" ht="20.100000000000001" customHeight="1" x14ac:dyDescent="0.2"/>
    <row r="36" ht="20.100000000000001" customHeight="1" x14ac:dyDescent="0.2"/>
    <row r="37" ht="20.100000000000001" customHeight="1" x14ac:dyDescent="0.2"/>
    <row r="38" ht="20.100000000000001" customHeight="1" x14ac:dyDescent="0.2"/>
    <row r="39" ht="20.100000000000001" customHeight="1" x14ac:dyDescent="0.2"/>
    <row r="40" ht="20.100000000000001" customHeight="1" x14ac:dyDescent="0.2"/>
    <row r="41" ht="20.100000000000001" customHeight="1" x14ac:dyDescent="0.2"/>
  </sheetData>
  <mergeCells count="13">
    <mergeCell ref="J5:M5"/>
    <mergeCell ref="D6:E6"/>
    <mergeCell ref="J6:K6"/>
    <mergeCell ref="L6:M6"/>
    <mergeCell ref="A27:B27"/>
    <mergeCell ref="A1:F2"/>
    <mergeCell ref="A3:H3"/>
    <mergeCell ref="D4:E4"/>
    <mergeCell ref="F4:H4"/>
    <mergeCell ref="A5:A6"/>
    <mergeCell ref="B5:B6"/>
    <mergeCell ref="D5:E5"/>
    <mergeCell ref="F5:H6"/>
  </mergeCells>
  <conditionalFormatting sqref="H8:H26">
    <cfRule type="cellIs" dxfId="95" priority="5" operator="lessThan">
      <formula>-1</formula>
    </cfRule>
    <cfRule type="cellIs" dxfId="94" priority="6" operator="equal">
      <formula>"-"</formula>
    </cfRule>
  </conditionalFormatting>
  <conditionalFormatting sqref="J8:O26">
    <cfRule type="containsErrors" dxfId="93" priority="4">
      <formula>ISERROR(J8)</formula>
    </cfRule>
  </conditionalFormatting>
  <conditionalFormatting sqref="O8:O26">
    <cfRule type="cellIs" dxfId="92" priority="1" operator="lessThan">
      <formula>0</formula>
    </cfRule>
    <cfRule type="cellIs" dxfId="91" priority="2" operator="greaterThan">
      <formula>15</formula>
    </cfRule>
    <cfRule type="cellIs" dxfId="90" priority="3" operator="lessThan">
      <formula>16</formula>
    </cfRule>
  </conditionalFormatting>
  <pageMargins left="0.7" right="0.7" top="0.75" bottom="0.75" header="0.3" footer="0.3"/>
  <pageSetup paperSize="9" scale="38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9200FB8-80DD-4DB0-A8E9-DC85704A28C6}">
          <x14:formula1>
            <xm:f>Data!$B$2:$B$22</xm:f>
          </x14:formula1>
          <xm:sqref>F4</xm:sqref>
        </x14:dataValidation>
        <x14:dataValidation type="list" allowBlank="1" showInputMessage="1" showErrorMessage="1" xr:uid="{8A9AA384-CD70-4AC8-A917-8FA6806CDD6B}">
          <x14:formula1>
            <xm:f>Data!$G$2:$G$6</xm:f>
          </x14:formula1>
          <xm:sqref>E8:E26</xm:sqref>
        </x14:dataValidation>
        <x14:dataValidation type="list" allowBlank="1" showInputMessage="1" showErrorMessage="1" xr:uid="{A62CE5D7-DA11-4052-AB06-90C0F3034431}">
          <x14:formula1>
            <xm:f>Data!$E$2:$E$37</xm:f>
          </x14:formula1>
          <xm:sqref>B8:B26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969FE-EB71-4FBE-AF2C-29F4F60A9EE2}">
  <sheetPr>
    <tabColor rgb="FF92D050"/>
    <pageSetUpPr fitToPage="1"/>
  </sheetPr>
  <dimension ref="A1:O41"/>
  <sheetViews>
    <sheetView topLeftCell="A8" zoomScale="55" zoomScaleNormal="55" zoomScaleSheetLayoutView="50" workbookViewId="0">
      <selection activeCell="B26" sqref="B26"/>
    </sheetView>
  </sheetViews>
  <sheetFormatPr defaultRowHeight="14.25" x14ac:dyDescent="0.2"/>
  <cols>
    <col min="2" max="2" width="60.875" customWidth="1"/>
    <col min="3" max="3" width="9.375" customWidth="1"/>
    <col min="4" max="4" width="19.625" customWidth="1"/>
    <col min="5" max="5" width="10.375" customWidth="1"/>
    <col min="6" max="7" width="22.125" customWidth="1"/>
    <col min="8" max="8" width="20.875" customWidth="1"/>
    <col min="9" max="9" width="1.875" customWidth="1"/>
    <col min="10" max="10" width="13.875" customWidth="1"/>
    <col min="11" max="11" width="25.125" bestFit="1" customWidth="1"/>
    <col min="12" max="13" width="13.875" customWidth="1"/>
    <col min="14" max="14" width="8.75" customWidth="1"/>
    <col min="15" max="15" width="18.125" customWidth="1"/>
  </cols>
  <sheetData>
    <row r="1" spans="1:15" ht="39.6" customHeight="1" x14ac:dyDescent="0.2">
      <c r="A1" s="61" t="s">
        <v>19</v>
      </c>
      <c r="B1" s="61"/>
      <c r="C1" s="61"/>
      <c r="D1" s="61"/>
      <c r="E1" s="61"/>
      <c r="F1" s="61"/>
      <c r="G1" s="6" t="s">
        <v>17</v>
      </c>
      <c r="H1" s="5" t="s">
        <v>58</v>
      </c>
    </row>
    <row r="2" spans="1:15" ht="40.5" customHeight="1" thickBot="1" x14ac:dyDescent="0.25">
      <c r="A2" s="62"/>
      <c r="B2" s="62"/>
      <c r="C2" s="62"/>
      <c r="D2" s="62"/>
      <c r="E2" s="62"/>
      <c r="F2" s="62"/>
      <c r="G2" s="6" t="s">
        <v>27</v>
      </c>
      <c r="H2" s="15"/>
    </row>
    <row r="3" spans="1:15" ht="48.6" customHeight="1" x14ac:dyDescent="0.2">
      <c r="A3" s="63" t="s">
        <v>1</v>
      </c>
      <c r="B3" s="64"/>
      <c r="C3" s="64"/>
      <c r="D3" s="64"/>
      <c r="E3" s="64"/>
      <c r="F3" s="64"/>
      <c r="G3" s="64"/>
      <c r="H3" s="65"/>
    </row>
    <row r="4" spans="1:15" ht="54.95" customHeight="1" x14ac:dyDescent="0.2">
      <c r="A4" s="33" t="s">
        <v>0</v>
      </c>
      <c r="B4" s="34" t="s">
        <v>21</v>
      </c>
      <c r="C4" s="35"/>
      <c r="D4" s="66" t="s">
        <v>6</v>
      </c>
      <c r="E4" s="66"/>
      <c r="F4" s="57" t="s">
        <v>50</v>
      </c>
      <c r="G4" s="57"/>
      <c r="H4" s="57"/>
    </row>
    <row r="5" spans="1:15" ht="30.95" customHeight="1" x14ac:dyDescent="0.2">
      <c r="A5" s="55" t="s">
        <v>2</v>
      </c>
      <c r="B5" s="67"/>
      <c r="C5" s="37"/>
      <c r="D5" s="55" t="s">
        <v>18</v>
      </c>
      <c r="E5" s="55"/>
      <c r="F5" s="68"/>
      <c r="G5" s="68"/>
      <c r="H5" s="68"/>
      <c r="J5" s="55" t="s">
        <v>38</v>
      </c>
      <c r="K5" s="55"/>
      <c r="L5" s="55"/>
      <c r="M5" s="55"/>
    </row>
    <row r="6" spans="1:15" ht="30.6" customHeight="1" x14ac:dyDescent="0.2">
      <c r="A6" s="55"/>
      <c r="B6" s="67"/>
      <c r="C6" s="37"/>
      <c r="D6" s="56"/>
      <c r="E6" s="57"/>
      <c r="F6" s="68"/>
      <c r="G6" s="68"/>
      <c r="H6" s="68"/>
      <c r="J6" s="58" t="s">
        <v>39</v>
      </c>
      <c r="K6" s="58"/>
      <c r="L6" s="59" t="s">
        <v>41</v>
      </c>
      <c r="M6" s="59"/>
    </row>
    <row r="7" spans="1:15" s="7" customFormat="1" ht="36.6" customHeight="1" x14ac:dyDescent="0.25">
      <c r="A7" s="38" t="s">
        <v>3</v>
      </c>
      <c r="B7" s="38" t="s">
        <v>4</v>
      </c>
      <c r="C7" s="38" t="s">
        <v>42</v>
      </c>
      <c r="D7" s="38" t="s">
        <v>11</v>
      </c>
      <c r="E7" s="38" t="s">
        <v>12</v>
      </c>
      <c r="F7" s="38" t="s">
        <v>9</v>
      </c>
      <c r="G7" s="38" t="s">
        <v>10</v>
      </c>
      <c r="H7" s="39" t="s">
        <v>24</v>
      </c>
      <c r="J7" s="43" t="s">
        <v>40</v>
      </c>
      <c r="K7" s="44" t="s">
        <v>14</v>
      </c>
      <c r="L7" s="45" t="s">
        <v>40</v>
      </c>
      <c r="M7" s="46" t="s">
        <v>14</v>
      </c>
      <c r="N7" s="42" t="s">
        <v>25</v>
      </c>
      <c r="O7" s="42" t="s">
        <v>26</v>
      </c>
    </row>
    <row r="8" spans="1:15" ht="44.45" customHeight="1" x14ac:dyDescent="0.2">
      <c r="A8" s="36">
        <v>1</v>
      </c>
      <c r="B8" s="26" t="s">
        <v>77</v>
      </c>
      <c r="C8" s="27">
        <f>SUMIF(Data!E:E,B8,Data!F:F)</f>
        <v>42</v>
      </c>
      <c r="D8" s="28"/>
      <c r="E8" s="29" t="s">
        <v>14</v>
      </c>
      <c r="F8" s="30"/>
      <c r="G8" s="31"/>
      <c r="H8" s="32">
        <f>+G8-$D$6</f>
        <v>0</v>
      </c>
      <c r="J8" s="47">
        <f t="shared" ref="J8:J26" si="0">ROUNDDOWN((D8/C8),0)</f>
        <v>0</v>
      </c>
      <c r="K8" s="48">
        <f>SUMIF(Data!E:E,'มหาชัย(2)'!B8,Data!F:F)*J8</f>
        <v>0</v>
      </c>
      <c r="L8" s="49">
        <f t="shared" ref="L8:L26" si="1">ROUNDUP((M8/C8),0)</f>
        <v>0</v>
      </c>
      <c r="M8" s="50">
        <f t="shared" ref="M8:M26" si="2">D8-K8</f>
        <v>0</v>
      </c>
      <c r="N8" s="33">
        <f>INDEX(Data!C:C,MATCH(F4,Data!B:B,0))</f>
        <v>60</v>
      </c>
      <c r="O8" s="51">
        <f t="shared" ref="O8:O26" si="3">H8-N8</f>
        <v>-60</v>
      </c>
    </row>
    <row r="9" spans="1:15" ht="44.45" customHeight="1" x14ac:dyDescent="0.2">
      <c r="A9" s="36">
        <v>2</v>
      </c>
      <c r="B9" s="26" t="s">
        <v>66</v>
      </c>
      <c r="C9" s="27">
        <f>SUMIF(Data!E:E,B9,Data!F:F)</f>
        <v>36</v>
      </c>
      <c r="D9" s="28"/>
      <c r="E9" s="29" t="s">
        <v>14</v>
      </c>
      <c r="F9" s="30"/>
      <c r="G9" s="31"/>
      <c r="H9" s="32">
        <f t="shared" ref="H9:H26" si="4">+G9-$D$6</f>
        <v>0</v>
      </c>
      <c r="J9" s="47">
        <f t="shared" si="0"/>
        <v>0</v>
      </c>
      <c r="K9" s="48">
        <f>SUMIF(Data!E:E,'มหาชัย(2)'!B9,Data!F:F)*J9</f>
        <v>0</v>
      </c>
      <c r="L9" s="49">
        <f t="shared" si="1"/>
        <v>0</v>
      </c>
      <c r="M9" s="50">
        <f t="shared" si="2"/>
        <v>0</v>
      </c>
      <c r="N9" s="33" t="e">
        <f>INDEX(Data!C:C,MATCH(F5,Data!B:B,0))</f>
        <v>#N/A</v>
      </c>
      <c r="O9" s="51" t="e">
        <f t="shared" si="3"/>
        <v>#N/A</v>
      </c>
    </row>
    <row r="10" spans="1:15" ht="44.45" customHeight="1" x14ac:dyDescent="0.2">
      <c r="A10" s="36">
        <v>3</v>
      </c>
      <c r="B10" s="26" t="s">
        <v>79</v>
      </c>
      <c r="C10" s="27">
        <f>SUMIF(Data!E:E,B10,Data!F:F)</f>
        <v>42</v>
      </c>
      <c r="D10" s="28"/>
      <c r="E10" s="29" t="s">
        <v>14</v>
      </c>
      <c r="F10" s="30"/>
      <c r="G10" s="31"/>
      <c r="H10" s="32">
        <f t="shared" si="4"/>
        <v>0</v>
      </c>
      <c r="J10" s="47">
        <f t="shared" si="0"/>
        <v>0</v>
      </c>
      <c r="K10" s="48">
        <f>SUMIF(Data!E:E,'มหาชัย(2)'!B10,Data!F:F)*J10</f>
        <v>0</v>
      </c>
      <c r="L10" s="49">
        <f t="shared" si="1"/>
        <v>0</v>
      </c>
      <c r="M10" s="50">
        <f t="shared" si="2"/>
        <v>0</v>
      </c>
      <c r="N10" s="33" t="e">
        <f>INDEX(Data!C:C,MATCH(F6,Data!B:B,0))</f>
        <v>#N/A</v>
      </c>
      <c r="O10" s="51" t="e">
        <f t="shared" si="3"/>
        <v>#N/A</v>
      </c>
    </row>
    <row r="11" spans="1:15" ht="44.45" customHeight="1" x14ac:dyDescent="0.2">
      <c r="A11" s="36">
        <v>4</v>
      </c>
      <c r="B11" s="26" t="s">
        <v>80</v>
      </c>
      <c r="C11" s="27">
        <f>SUMIF(Data!E:E,B11,Data!F:F)</f>
        <v>50</v>
      </c>
      <c r="D11" s="28"/>
      <c r="E11" s="29" t="s">
        <v>14</v>
      </c>
      <c r="F11" s="30"/>
      <c r="G11" s="31"/>
      <c r="H11" s="32">
        <f t="shared" si="4"/>
        <v>0</v>
      </c>
      <c r="J11" s="47">
        <f t="shared" si="0"/>
        <v>0</v>
      </c>
      <c r="K11" s="48">
        <f>SUMIF(Data!E:E,'มหาชัย(2)'!B11,Data!F:F)*J11</f>
        <v>0</v>
      </c>
      <c r="L11" s="49">
        <f t="shared" si="1"/>
        <v>0</v>
      </c>
      <c r="M11" s="50">
        <f t="shared" si="2"/>
        <v>0</v>
      </c>
      <c r="N11" s="33" t="e">
        <f>INDEX(Data!C:C,MATCH(F7,Data!B:B,0))</f>
        <v>#N/A</v>
      </c>
      <c r="O11" s="51" t="e">
        <f t="shared" si="3"/>
        <v>#N/A</v>
      </c>
    </row>
    <row r="12" spans="1:15" ht="44.45" customHeight="1" x14ac:dyDescent="0.2">
      <c r="A12" s="36">
        <v>5</v>
      </c>
      <c r="B12" s="26" t="s">
        <v>71</v>
      </c>
      <c r="C12" s="27">
        <f>SUMIF(Data!E:E,B12,Data!F:F)</f>
        <v>81</v>
      </c>
      <c r="D12" s="28"/>
      <c r="E12" s="29" t="s">
        <v>14</v>
      </c>
      <c r="F12" s="30"/>
      <c r="G12" s="31"/>
      <c r="H12" s="32">
        <f t="shared" si="4"/>
        <v>0</v>
      </c>
      <c r="J12" s="47">
        <f t="shared" si="0"/>
        <v>0</v>
      </c>
      <c r="K12" s="48">
        <f>SUMIF(Data!E:E,'มหาชัย(2)'!B12,Data!F:F)*J12</f>
        <v>0</v>
      </c>
      <c r="L12" s="49">
        <f t="shared" si="1"/>
        <v>0</v>
      </c>
      <c r="M12" s="50">
        <f t="shared" si="2"/>
        <v>0</v>
      </c>
      <c r="N12" s="33" t="e">
        <f>INDEX(Data!C:C,MATCH(F8,Data!B:B,0))</f>
        <v>#N/A</v>
      </c>
      <c r="O12" s="51" t="e">
        <f t="shared" si="3"/>
        <v>#N/A</v>
      </c>
    </row>
    <row r="13" spans="1:15" ht="44.45" customHeight="1" x14ac:dyDescent="0.2">
      <c r="A13" s="36">
        <v>6</v>
      </c>
      <c r="B13" s="26" t="s">
        <v>84</v>
      </c>
      <c r="C13" s="27">
        <f>SUMIF(Data!E:E,B13,Data!F:F)</f>
        <v>42</v>
      </c>
      <c r="D13" s="28"/>
      <c r="E13" s="29" t="s">
        <v>14</v>
      </c>
      <c r="F13" s="30"/>
      <c r="G13" s="31"/>
      <c r="H13" s="32">
        <f t="shared" si="4"/>
        <v>0</v>
      </c>
      <c r="J13" s="47">
        <f t="shared" si="0"/>
        <v>0</v>
      </c>
      <c r="K13" s="48">
        <f>SUMIF(Data!E:E,'มหาชัย(2)'!B13,Data!F:F)*J13</f>
        <v>0</v>
      </c>
      <c r="L13" s="49">
        <f t="shared" si="1"/>
        <v>0</v>
      </c>
      <c r="M13" s="50">
        <f t="shared" si="2"/>
        <v>0</v>
      </c>
      <c r="N13" s="33" t="e">
        <f>INDEX(Data!C:C,MATCH(F9,Data!B:B,0))</f>
        <v>#N/A</v>
      </c>
      <c r="O13" s="51" t="e">
        <f t="shared" si="3"/>
        <v>#N/A</v>
      </c>
    </row>
    <row r="14" spans="1:15" ht="44.45" customHeight="1" x14ac:dyDescent="0.2">
      <c r="A14" s="36">
        <v>7</v>
      </c>
      <c r="B14" s="26" t="s">
        <v>85</v>
      </c>
      <c r="C14" s="27">
        <f>SUMIF(Data!E:E,B14,Data!F:F)</f>
        <v>32</v>
      </c>
      <c r="D14" s="28"/>
      <c r="E14" s="29" t="s">
        <v>14</v>
      </c>
      <c r="F14" s="30"/>
      <c r="G14" s="31"/>
      <c r="H14" s="32">
        <f t="shared" si="4"/>
        <v>0</v>
      </c>
      <c r="J14" s="47">
        <f t="shared" si="0"/>
        <v>0</v>
      </c>
      <c r="K14" s="48">
        <f>SUMIF(Data!E:E,'มหาชัย(2)'!B14,Data!F:F)*J14</f>
        <v>0</v>
      </c>
      <c r="L14" s="49">
        <f t="shared" si="1"/>
        <v>0</v>
      </c>
      <c r="M14" s="50">
        <f t="shared" si="2"/>
        <v>0</v>
      </c>
      <c r="N14" s="33" t="e">
        <f>INDEX(Data!C:C,MATCH(F10,Data!B:B,0))</f>
        <v>#N/A</v>
      </c>
      <c r="O14" s="51" t="e">
        <f t="shared" si="3"/>
        <v>#N/A</v>
      </c>
    </row>
    <row r="15" spans="1:15" ht="44.45" customHeight="1" x14ac:dyDescent="0.2">
      <c r="A15" s="36">
        <v>8</v>
      </c>
      <c r="B15" s="26" t="s">
        <v>76</v>
      </c>
      <c r="C15" s="27">
        <f>SUMIF(Data!E:E,B15,Data!F:F)</f>
        <v>70</v>
      </c>
      <c r="D15" s="28"/>
      <c r="E15" s="29" t="s">
        <v>14</v>
      </c>
      <c r="F15" s="30"/>
      <c r="G15" s="31"/>
      <c r="H15" s="32">
        <f t="shared" si="4"/>
        <v>0</v>
      </c>
      <c r="J15" s="47">
        <f t="shared" si="0"/>
        <v>0</v>
      </c>
      <c r="K15" s="48">
        <f>SUMIF(Data!E:E,'มหาชัย(2)'!B15,Data!F:F)*J15</f>
        <v>0</v>
      </c>
      <c r="L15" s="49">
        <f t="shared" si="1"/>
        <v>0</v>
      </c>
      <c r="M15" s="50">
        <f t="shared" si="2"/>
        <v>0</v>
      </c>
      <c r="N15" s="33" t="e">
        <f>INDEX(Data!C:C,MATCH(F11,Data!B:B,0))</f>
        <v>#N/A</v>
      </c>
      <c r="O15" s="51" t="e">
        <f t="shared" si="3"/>
        <v>#N/A</v>
      </c>
    </row>
    <row r="16" spans="1:15" ht="44.45" customHeight="1" x14ac:dyDescent="0.2">
      <c r="A16" s="36">
        <v>9</v>
      </c>
      <c r="B16" s="26" t="s">
        <v>89</v>
      </c>
      <c r="C16" s="27">
        <f>SUMIF(Data!E:E,B16,Data!F:F)</f>
        <v>45</v>
      </c>
      <c r="D16" s="28"/>
      <c r="E16" s="29" t="s">
        <v>14</v>
      </c>
      <c r="F16" s="30"/>
      <c r="G16" s="31"/>
      <c r="H16" s="32">
        <f t="shared" si="4"/>
        <v>0</v>
      </c>
      <c r="J16" s="47">
        <f t="shared" si="0"/>
        <v>0</v>
      </c>
      <c r="K16" s="48">
        <f>SUMIF(Data!E:E,'มหาชัย(2)'!B16,Data!F:F)*J16</f>
        <v>0</v>
      </c>
      <c r="L16" s="49">
        <f t="shared" si="1"/>
        <v>0</v>
      </c>
      <c r="M16" s="50">
        <f t="shared" si="2"/>
        <v>0</v>
      </c>
      <c r="N16" s="33" t="e">
        <f>INDEX(Data!C:C,MATCH(F12,Data!B:B,0))</f>
        <v>#N/A</v>
      </c>
      <c r="O16" s="51" t="e">
        <f t="shared" si="3"/>
        <v>#N/A</v>
      </c>
    </row>
    <row r="17" spans="1:15" ht="44.45" customHeight="1" x14ac:dyDescent="0.2">
      <c r="A17" s="36">
        <v>10</v>
      </c>
      <c r="B17" s="26" t="s">
        <v>88</v>
      </c>
      <c r="C17" s="27">
        <f>SUMIF(Data!E:E,B17,Data!F:F)</f>
        <v>48</v>
      </c>
      <c r="D17" s="28"/>
      <c r="E17" s="29" t="s">
        <v>14</v>
      </c>
      <c r="F17" s="30"/>
      <c r="G17" s="31"/>
      <c r="H17" s="32">
        <f t="shared" si="4"/>
        <v>0</v>
      </c>
      <c r="J17" s="47">
        <f t="shared" si="0"/>
        <v>0</v>
      </c>
      <c r="K17" s="48">
        <f>SUMIF(Data!E:E,'มหาชัย(2)'!B17,Data!F:F)*J17</f>
        <v>0</v>
      </c>
      <c r="L17" s="49">
        <f t="shared" si="1"/>
        <v>0</v>
      </c>
      <c r="M17" s="50">
        <f t="shared" si="2"/>
        <v>0</v>
      </c>
      <c r="N17" s="33" t="e">
        <f>INDEX(Data!C:C,MATCH(F13,Data!B:B,0))</f>
        <v>#N/A</v>
      </c>
      <c r="O17" s="51" t="e">
        <f t="shared" si="3"/>
        <v>#N/A</v>
      </c>
    </row>
    <row r="18" spans="1:15" ht="44.45" customHeight="1" x14ac:dyDescent="0.2">
      <c r="A18" s="36">
        <v>11</v>
      </c>
      <c r="B18" s="26" t="s">
        <v>87</v>
      </c>
      <c r="C18" s="27">
        <f>SUMIF(Data!E:E,B18,Data!F:F)</f>
        <v>48</v>
      </c>
      <c r="D18" s="28"/>
      <c r="E18" s="29" t="s">
        <v>14</v>
      </c>
      <c r="F18" s="30"/>
      <c r="G18" s="31"/>
      <c r="H18" s="32">
        <f t="shared" si="4"/>
        <v>0</v>
      </c>
      <c r="J18" s="47">
        <f t="shared" si="0"/>
        <v>0</v>
      </c>
      <c r="K18" s="48">
        <f>SUMIF(Data!E:E,'มหาชัย(2)'!B18,Data!F:F)*J18</f>
        <v>0</v>
      </c>
      <c r="L18" s="49">
        <f t="shared" si="1"/>
        <v>0</v>
      </c>
      <c r="M18" s="50">
        <f t="shared" si="2"/>
        <v>0</v>
      </c>
      <c r="N18" s="33" t="e">
        <f>INDEX(Data!C:C,MATCH(F14,Data!B:B,0))</f>
        <v>#N/A</v>
      </c>
      <c r="O18" s="51" t="e">
        <f t="shared" si="3"/>
        <v>#N/A</v>
      </c>
    </row>
    <row r="19" spans="1:15" ht="44.45" customHeight="1" x14ac:dyDescent="0.2">
      <c r="A19" s="36">
        <v>12</v>
      </c>
      <c r="B19" s="26" t="s">
        <v>90</v>
      </c>
      <c r="C19" s="27">
        <f>SUMIF(Data!E:E,B19,Data!F:F)</f>
        <v>60</v>
      </c>
      <c r="D19" s="28"/>
      <c r="E19" s="29" t="s">
        <v>14</v>
      </c>
      <c r="F19" s="30"/>
      <c r="G19" s="31"/>
      <c r="H19" s="32">
        <f t="shared" si="4"/>
        <v>0</v>
      </c>
      <c r="J19" s="47">
        <f t="shared" si="0"/>
        <v>0</v>
      </c>
      <c r="K19" s="48">
        <f>SUMIF(Data!E:E,'มหาชัย(2)'!B19,Data!F:F)*J19</f>
        <v>0</v>
      </c>
      <c r="L19" s="49">
        <f t="shared" si="1"/>
        <v>0</v>
      </c>
      <c r="M19" s="50">
        <f t="shared" si="2"/>
        <v>0</v>
      </c>
      <c r="N19" s="33" t="e">
        <f>INDEX(Data!C:C,MATCH(F15,Data!B:B,0))</f>
        <v>#N/A</v>
      </c>
      <c r="O19" s="51" t="e">
        <f t="shared" si="3"/>
        <v>#N/A</v>
      </c>
    </row>
    <row r="20" spans="1:15" ht="44.45" customHeight="1" x14ac:dyDescent="0.2">
      <c r="A20" s="36">
        <v>13</v>
      </c>
      <c r="B20" s="26" t="s">
        <v>91</v>
      </c>
      <c r="C20" s="27">
        <f>SUMIF(Data!E:E,B20,Data!F:F)</f>
        <v>50</v>
      </c>
      <c r="D20" s="28"/>
      <c r="E20" s="29" t="s">
        <v>14</v>
      </c>
      <c r="F20" s="30"/>
      <c r="G20" s="31"/>
      <c r="H20" s="32">
        <f t="shared" si="4"/>
        <v>0</v>
      </c>
      <c r="J20" s="47">
        <f t="shared" si="0"/>
        <v>0</v>
      </c>
      <c r="K20" s="48">
        <f>SUMIF(Data!E:E,'มหาชัย(2)'!B20,Data!F:F)*J20</f>
        <v>0</v>
      </c>
      <c r="L20" s="49">
        <f t="shared" si="1"/>
        <v>0</v>
      </c>
      <c r="M20" s="50">
        <f t="shared" si="2"/>
        <v>0</v>
      </c>
      <c r="N20" s="33" t="e">
        <f>INDEX(Data!C:C,MATCH(F16,Data!B:B,0))</f>
        <v>#N/A</v>
      </c>
      <c r="O20" s="51" t="e">
        <f t="shared" si="3"/>
        <v>#N/A</v>
      </c>
    </row>
    <row r="21" spans="1:15" ht="44.45" customHeight="1" x14ac:dyDescent="0.2">
      <c r="A21" s="36">
        <v>14</v>
      </c>
      <c r="B21" s="26" t="s">
        <v>93</v>
      </c>
      <c r="C21" s="27">
        <f>SUMIF(Data!E:E,B21,Data!F:F)</f>
        <v>60</v>
      </c>
      <c r="D21" s="28"/>
      <c r="E21" s="29" t="s">
        <v>14</v>
      </c>
      <c r="F21" s="30"/>
      <c r="G21" s="31"/>
      <c r="H21" s="32">
        <f t="shared" si="4"/>
        <v>0</v>
      </c>
      <c r="J21" s="47">
        <f t="shared" si="0"/>
        <v>0</v>
      </c>
      <c r="K21" s="48">
        <f>SUMIF(Data!E:E,'มหาชัย(2)'!B21,Data!F:F)*J21</f>
        <v>0</v>
      </c>
      <c r="L21" s="49">
        <f t="shared" si="1"/>
        <v>0</v>
      </c>
      <c r="M21" s="50">
        <f t="shared" si="2"/>
        <v>0</v>
      </c>
      <c r="N21" s="33" t="e">
        <f>INDEX(Data!C:C,MATCH(F17,Data!B:B,0))</f>
        <v>#N/A</v>
      </c>
      <c r="O21" s="51" t="e">
        <f t="shared" si="3"/>
        <v>#N/A</v>
      </c>
    </row>
    <row r="22" spans="1:15" ht="44.45" customHeight="1" x14ac:dyDescent="0.2">
      <c r="A22" s="36">
        <v>15</v>
      </c>
      <c r="B22" s="26" t="s">
        <v>94</v>
      </c>
      <c r="C22" s="27">
        <f>SUMIF(Data!E:E,B22,Data!F:F)</f>
        <v>55</v>
      </c>
      <c r="D22" s="28"/>
      <c r="E22" s="29" t="s">
        <v>14</v>
      </c>
      <c r="F22" s="30"/>
      <c r="G22" s="31"/>
      <c r="H22" s="32">
        <f t="shared" si="4"/>
        <v>0</v>
      </c>
      <c r="J22" s="47">
        <f t="shared" si="0"/>
        <v>0</v>
      </c>
      <c r="K22" s="48">
        <f>SUMIF(Data!E:E,'มหาชัย(2)'!B22,Data!F:F)*J22</f>
        <v>0</v>
      </c>
      <c r="L22" s="49">
        <f t="shared" si="1"/>
        <v>0</v>
      </c>
      <c r="M22" s="50">
        <f t="shared" si="2"/>
        <v>0</v>
      </c>
      <c r="N22" s="33" t="e">
        <f>INDEX(Data!C:C,MATCH(F18,Data!B:B,0))</f>
        <v>#N/A</v>
      </c>
      <c r="O22" s="51" t="e">
        <f t="shared" si="3"/>
        <v>#N/A</v>
      </c>
    </row>
    <row r="23" spans="1:15" ht="44.45" customHeight="1" x14ac:dyDescent="0.2">
      <c r="A23" s="36">
        <v>16</v>
      </c>
      <c r="B23" s="26" t="s">
        <v>95</v>
      </c>
      <c r="C23" s="27">
        <f>SUMIF(Data!E:E,B23,Data!F:F)</f>
        <v>50</v>
      </c>
      <c r="D23" s="28"/>
      <c r="E23" s="29" t="s">
        <v>14</v>
      </c>
      <c r="F23" s="30"/>
      <c r="G23" s="31"/>
      <c r="H23" s="32">
        <f t="shared" si="4"/>
        <v>0</v>
      </c>
      <c r="J23" s="47">
        <f t="shared" si="0"/>
        <v>0</v>
      </c>
      <c r="K23" s="48">
        <f>SUMIF(Data!E:E,'มหาชัย(2)'!B23,Data!F:F)*J23</f>
        <v>0</v>
      </c>
      <c r="L23" s="49">
        <f t="shared" si="1"/>
        <v>0</v>
      </c>
      <c r="M23" s="50">
        <f t="shared" si="2"/>
        <v>0</v>
      </c>
      <c r="N23" s="33" t="e">
        <f>INDEX(Data!C:C,MATCH(F19,Data!B:B,0))</f>
        <v>#N/A</v>
      </c>
      <c r="O23" s="51" t="e">
        <f t="shared" si="3"/>
        <v>#N/A</v>
      </c>
    </row>
    <row r="24" spans="1:15" ht="44.45" customHeight="1" x14ac:dyDescent="0.2">
      <c r="A24" s="36">
        <v>17</v>
      </c>
      <c r="B24" s="26" t="s">
        <v>98</v>
      </c>
      <c r="C24" s="27">
        <f>SUMIF(Data!E:E,B24,Data!F:F)</f>
        <v>55</v>
      </c>
      <c r="D24" s="28"/>
      <c r="E24" s="29" t="s">
        <v>14</v>
      </c>
      <c r="F24" s="30"/>
      <c r="G24" s="31"/>
      <c r="H24" s="32">
        <f t="shared" si="4"/>
        <v>0</v>
      </c>
      <c r="J24" s="47">
        <f t="shared" si="0"/>
        <v>0</v>
      </c>
      <c r="K24" s="48">
        <f>SUMIF(Data!E:E,'มหาชัย(2)'!B24,Data!F:F)*J24</f>
        <v>0</v>
      </c>
      <c r="L24" s="49">
        <f t="shared" si="1"/>
        <v>0</v>
      </c>
      <c r="M24" s="50">
        <f t="shared" si="2"/>
        <v>0</v>
      </c>
      <c r="N24" s="33" t="e">
        <f>INDEX(Data!C:C,MATCH(F20,Data!B:B,0))</f>
        <v>#N/A</v>
      </c>
      <c r="O24" s="51" t="e">
        <f t="shared" si="3"/>
        <v>#N/A</v>
      </c>
    </row>
    <row r="25" spans="1:15" ht="44.45" customHeight="1" x14ac:dyDescent="0.2">
      <c r="A25" s="36">
        <v>18</v>
      </c>
      <c r="B25" s="26" t="s">
        <v>99</v>
      </c>
      <c r="C25" s="27">
        <f>SUMIF(Data!E:E,B25,Data!F:F)</f>
        <v>55</v>
      </c>
      <c r="D25" s="28"/>
      <c r="E25" s="29" t="s">
        <v>14</v>
      </c>
      <c r="F25" s="30"/>
      <c r="G25" s="31"/>
      <c r="H25" s="32">
        <f t="shared" si="4"/>
        <v>0</v>
      </c>
      <c r="J25" s="47">
        <f t="shared" si="0"/>
        <v>0</v>
      </c>
      <c r="K25" s="48">
        <f>SUMIF(Data!E:E,'มหาชัย(2)'!B25,Data!F:F)*J25</f>
        <v>0</v>
      </c>
      <c r="L25" s="49">
        <f t="shared" si="1"/>
        <v>0</v>
      </c>
      <c r="M25" s="50">
        <f t="shared" si="2"/>
        <v>0</v>
      </c>
      <c r="N25" s="33" t="e">
        <f>INDEX(Data!C:C,MATCH(F21,Data!B:B,0))</f>
        <v>#N/A</v>
      </c>
      <c r="O25" s="51" t="e">
        <f t="shared" si="3"/>
        <v>#N/A</v>
      </c>
    </row>
    <row r="26" spans="1:15" ht="44.45" customHeight="1" x14ac:dyDescent="0.2">
      <c r="A26" s="36">
        <v>19</v>
      </c>
      <c r="B26" s="26" t="s">
        <v>100</v>
      </c>
      <c r="C26" s="27">
        <f>SUMIF(Data!E:E,B26,Data!F:F)</f>
        <v>81</v>
      </c>
      <c r="D26" s="28"/>
      <c r="E26" s="29" t="s">
        <v>14</v>
      </c>
      <c r="F26" s="30"/>
      <c r="G26" s="31"/>
      <c r="H26" s="32">
        <f t="shared" si="4"/>
        <v>0</v>
      </c>
      <c r="J26" s="47">
        <f t="shared" si="0"/>
        <v>0</v>
      </c>
      <c r="K26" s="48">
        <f>SUMIF(Data!E:E,'มหาชัย(2)'!B26,Data!F:F)*J26</f>
        <v>0</v>
      </c>
      <c r="L26" s="49">
        <f t="shared" si="1"/>
        <v>0</v>
      </c>
      <c r="M26" s="50">
        <f t="shared" si="2"/>
        <v>0</v>
      </c>
      <c r="N26" s="33" t="e">
        <f>INDEX(Data!C:C,MATCH(F22,Data!B:B,0))</f>
        <v>#N/A</v>
      </c>
      <c r="O26" s="51" t="e">
        <f t="shared" si="3"/>
        <v>#N/A</v>
      </c>
    </row>
    <row r="27" spans="1:15" ht="54.6" customHeight="1" x14ac:dyDescent="0.2">
      <c r="A27" s="60" t="s">
        <v>5</v>
      </c>
      <c r="B27" s="60"/>
      <c r="C27" s="40"/>
      <c r="D27" s="41"/>
      <c r="E27" s="42"/>
      <c r="F27" s="42"/>
      <c r="G27" s="42"/>
      <c r="H27" s="1"/>
      <c r="J27" s="14" t="s">
        <v>39</v>
      </c>
      <c r="K27" s="14" t="s">
        <v>41</v>
      </c>
      <c r="L27" s="14" t="s">
        <v>57</v>
      </c>
    </row>
    <row r="28" spans="1:15" ht="20.100000000000001" customHeight="1" x14ac:dyDescent="0.2">
      <c r="J28" s="13">
        <f>SUM($J$8:$J$26)</f>
        <v>0</v>
      </c>
      <c r="K28" s="13">
        <f>SUM($L$8:$L$26)</f>
        <v>0</v>
      </c>
      <c r="L28" s="13">
        <f>SUM(J28:K28)</f>
        <v>0</v>
      </c>
    </row>
    <row r="29" spans="1:15" ht="20.100000000000001" customHeight="1" x14ac:dyDescent="0.2">
      <c r="L29" s="13"/>
    </row>
    <row r="30" spans="1:15" ht="61.5" customHeight="1" x14ac:dyDescent="0.25">
      <c r="A30" s="8"/>
      <c r="B30" s="9" t="s">
        <v>29</v>
      </c>
      <c r="C30" s="9"/>
      <c r="G30" s="8" t="s">
        <v>31</v>
      </c>
      <c r="N30" s="8"/>
      <c r="O30" s="8"/>
    </row>
    <row r="31" spans="1:15" ht="61.5" customHeight="1" x14ac:dyDescent="0.25">
      <c r="A31" s="8"/>
      <c r="B31" s="8" t="s">
        <v>28</v>
      </c>
      <c r="C31" s="8"/>
      <c r="F31" s="8"/>
      <c r="G31" s="8" t="s">
        <v>32</v>
      </c>
      <c r="H31" s="8"/>
      <c r="N31" s="8"/>
      <c r="O31" s="8"/>
    </row>
    <row r="32" spans="1:15" ht="61.5" customHeight="1" x14ac:dyDescent="0.25">
      <c r="A32" s="8"/>
      <c r="B32" s="8" t="s">
        <v>30</v>
      </c>
      <c r="C32" s="8"/>
      <c r="F32" s="8"/>
      <c r="G32" s="8" t="s">
        <v>33</v>
      </c>
      <c r="H32" s="9"/>
      <c r="J32" s="11"/>
      <c r="L32" s="9"/>
      <c r="N32" s="9"/>
      <c r="O32" s="9"/>
    </row>
    <row r="33" ht="20.100000000000001" customHeight="1" x14ac:dyDescent="0.2"/>
    <row r="34" ht="20.100000000000001" customHeight="1" x14ac:dyDescent="0.2"/>
    <row r="35" ht="20.100000000000001" customHeight="1" x14ac:dyDescent="0.2"/>
    <row r="36" ht="20.100000000000001" customHeight="1" x14ac:dyDescent="0.2"/>
    <row r="37" ht="20.100000000000001" customHeight="1" x14ac:dyDescent="0.2"/>
    <row r="38" ht="20.100000000000001" customHeight="1" x14ac:dyDescent="0.2"/>
    <row r="39" ht="20.100000000000001" customHeight="1" x14ac:dyDescent="0.2"/>
    <row r="40" ht="20.100000000000001" customHeight="1" x14ac:dyDescent="0.2"/>
    <row r="41" ht="20.100000000000001" customHeight="1" x14ac:dyDescent="0.2"/>
  </sheetData>
  <mergeCells count="13">
    <mergeCell ref="A1:F2"/>
    <mergeCell ref="A3:H3"/>
    <mergeCell ref="D4:E4"/>
    <mergeCell ref="F4:H4"/>
    <mergeCell ref="A5:A6"/>
    <mergeCell ref="B5:B6"/>
    <mergeCell ref="D5:E5"/>
    <mergeCell ref="F5:H6"/>
    <mergeCell ref="J5:M5"/>
    <mergeCell ref="D6:E6"/>
    <mergeCell ref="J6:K6"/>
    <mergeCell ref="L6:M6"/>
    <mergeCell ref="A27:B27"/>
  </mergeCells>
  <conditionalFormatting sqref="H8:H26">
    <cfRule type="cellIs" dxfId="89" priority="5" operator="lessThan">
      <formula>-1</formula>
    </cfRule>
    <cfRule type="cellIs" dxfId="88" priority="6" operator="equal">
      <formula>"-"</formula>
    </cfRule>
  </conditionalFormatting>
  <conditionalFormatting sqref="J8:O26">
    <cfRule type="containsErrors" dxfId="87" priority="4">
      <formula>ISERROR(J8)</formula>
    </cfRule>
  </conditionalFormatting>
  <conditionalFormatting sqref="O8:O26">
    <cfRule type="cellIs" dxfId="86" priority="1" operator="lessThan">
      <formula>0</formula>
    </cfRule>
    <cfRule type="cellIs" dxfId="85" priority="2" operator="greaterThan">
      <formula>15</formula>
    </cfRule>
    <cfRule type="cellIs" dxfId="84" priority="3" operator="lessThan">
      <formula>16</formula>
    </cfRule>
  </conditionalFormatting>
  <pageMargins left="0.7" right="0.7" top="0.75" bottom="0.75" header="0.3" footer="0.3"/>
  <pageSetup paperSize="9" scale="38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9571733-56FA-4D7A-A8FE-0A1B25D635C7}">
          <x14:formula1>
            <xm:f>Data!$B$2:$B$22</xm:f>
          </x14:formula1>
          <xm:sqref>F4</xm:sqref>
        </x14:dataValidation>
        <x14:dataValidation type="list" allowBlank="1" showInputMessage="1" showErrorMessage="1" xr:uid="{BB0ED8C1-7838-4C6E-8F6A-3F89FE2C79EA}">
          <x14:formula1>
            <xm:f>Data!$G$2:$G$6</xm:f>
          </x14:formula1>
          <xm:sqref>E8:E26</xm:sqref>
        </x14:dataValidation>
        <x14:dataValidation type="list" allowBlank="1" showInputMessage="1" showErrorMessage="1" xr:uid="{743431A5-B14C-4100-8952-4D9A487E6973}">
          <x14:formula1>
            <xm:f>Data!$E$2:$E$37</xm:f>
          </x14:formula1>
          <xm:sqref>B8:B26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BEA83-1087-461A-86F2-0016B0FAA8CA}">
  <sheetPr>
    <tabColor rgb="FF92D050"/>
    <pageSetUpPr fitToPage="1"/>
  </sheetPr>
  <dimension ref="A1:O41"/>
  <sheetViews>
    <sheetView topLeftCell="A8" zoomScale="55" zoomScaleNormal="55" zoomScaleSheetLayoutView="50" workbookViewId="0">
      <selection activeCell="B26" sqref="B26"/>
    </sheetView>
  </sheetViews>
  <sheetFormatPr defaultRowHeight="14.25" x14ac:dyDescent="0.2"/>
  <cols>
    <col min="2" max="2" width="60.875" customWidth="1"/>
    <col min="3" max="3" width="9.375" customWidth="1"/>
    <col min="4" max="4" width="19.625" customWidth="1"/>
    <col min="5" max="5" width="10.375" customWidth="1"/>
    <col min="6" max="7" width="22.125" customWidth="1"/>
    <col min="8" max="8" width="20.875" customWidth="1"/>
    <col min="9" max="9" width="1.875" customWidth="1"/>
    <col min="10" max="10" width="13.875" customWidth="1"/>
    <col min="11" max="11" width="25.125" bestFit="1" customWidth="1"/>
    <col min="12" max="13" width="13.875" customWidth="1"/>
    <col min="14" max="14" width="8.75" customWidth="1"/>
    <col min="15" max="15" width="18.125" customWidth="1"/>
  </cols>
  <sheetData>
    <row r="1" spans="1:15" ht="39.6" customHeight="1" x14ac:dyDescent="0.2">
      <c r="A1" s="61" t="s">
        <v>19</v>
      </c>
      <c r="B1" s="61"/>
      <c r="C1" s="61"/>
      <c r="D1" s="61"/>
      <c r="E1" s="61"/>
      <c r="F1" s="61"/>
      <c r="G1" s="6" t="s">
        <v>17</v>
      </c>
      <c r="H1" s="5" t="s">
        <v>58</v>
      </c>
    </row>
    <row r="2" spans="1:15" ht="40.5" customHeight="1" thickBot="1" x14ac:dyDescent="0.25">
      <c r="A2" s="62"/>
      <c r="B2" s="62"/>
      <c r="C2" s="62"/>
      <c r="D2" s="62"/>
      <c r="E2" s="62"/>
      <c r="F2" s="62"/>
      <c r="G2" s="6" t="s">
        <v>27</v>
      </c>
      <c r="H2" s="15"/>
    </row>
    <row r="3" spans="1:15" ht="48.6" customHeight="1" x14ac:dyDescent="0.2">
      <c r="A3" s="63" t="s">
        <v>1</v>
      </c>
      <c r="B3" s="64"/>
      <c r="C3" s="64"/>
      <c r="D3" s="64"/>
      <c r="E3" s="64"/>
      <c r="F3" s="64"/>
      <c r="G3" s="64"/>
      <c r="H3" s="65"/>
    </row>
    <row r="4" spans="1:15" ht="54.95" customHeight="1" x14ac:dyDescent="0.2">
      <c r="A4" s="33" t="s">
        <v>0</v>
      </c>
      <c r="B4" s="34" t="s">
        <v>21</v>
      </c>
      <c r="C4" s="35"/>
      <c r="D4" s="66" t="s">
        <v>6</v>
      </c>
      <c r="E4" s="66"/>
      <c r="F4" s="57" t="s">
        <v>48</v>
      </c>
      <c r="G4" s="57"/>
      <c r="H4" s="57"/>
    </row>
    <row r="5" spans="1:15" ht="30.95" customHeight="1" x14ac:dyDescent="0.2">
      <c r="A5" s="55" t="s">
        <v>2</v>
      </c>
      <c r="B5" s="67"/>
      <c r="C5" s="37"/>
      <c r="D5" s="55" t="s">
        <v>18</v>
      </c>
      <c r="E5" s="55"/>
      <c r="F5" s="68"/>
      <c r="G5" s="68"/>
      <c r="H5" s="68"/>
      <c r="J5" s="55" t="s">
        <v>38</v>
      </c>
      <c r="K5" s="55"/>
      <c r="L5" s="55"/>
      <c r="M5" s="55"/>
    </row>
    <row r="6" spans="1:15" ht="30.6" customHeight="1" x14ac:dyDescent="0.2">
      <c r="A6" s="55"/>
      <c r="B6" s="67"/>
      <c r="C6" s="37"/>
      <c r="D6" s="56"/>
      <c r="E6" s="57"/>
      <c r="F6" s="68"/>
      <c r="G6" s="68"/>
      <c r="H6" s="68"/>
      <c r="J6" s="58" t="s">
        <v>39</v>
      </c>
      <c r="K6" s="58"/>
      <c r="L6" s="59" t="s">
        <v>41</v>
      </c>
      <c r="M6" s="59"/>
    </row>
    <row r="7" spans="1:15" s="7" customFormat="1" ht="36.6" customHeight="1" x14ac:dyDescent="0.25">
      <c r="A7" s="38" t="s">
        <v>3</v>
      </c>
      <c r="B7" s="38" t="s">
        <v>4</v>
      </c>
      <c r="C7" s="38" t="s">
        <v>42</v>
      </c>
      <c r="D7" s="38" t="s">
        <v>11</v>
      </c>
      <c r="E7" s="38" t="s">
        <v>12</v>
      </c>
      <c r="F7" s="38" t="s">
        <v>9</v>
      </c>
      <c r="G7" s="38" t="s">
        <v>10</v>
      </c>
      <c r="H7" s="39" t="s">
        <v>24</v>
      </c>
      <c r="J7" s="43" t="s">
        <v>40</v>
      </c>
      <c r="K7" s="44" t="s">
        <v>14</v>
      </c>
      <c r="L7" s="45" t="s">
        <v>40</v>
      </c>
      <c r="M7" s="46" t="s">
        <v>14</v>
      </c>
      <c r="N7" s="42" t="s">
        <v>25</v>
      </c>
      <c r="O7" s="42" t="s">
        <v>26</v>
      </c>
    </row>
    <row r="8" spans="1:15" ht="44.45" customHeight="1" x14ac:dyDescent="0.2">
      <c r="A8" s="36">
        <v>1</v>
      </c>
      <c r="B8" s="26" t="s">
        <v>77</v>
      </c>
      <c r="C8" s="27">
        <f>SUMIF(Data!E:E,B8,Data!F:F)</f>
        <v>42</v>
      </c>
      <c r="D8" s="28"/>
      <c r="E8" s="29" t="s">
        <v>14</v>
      </c>
      <c r="F8" s="30"/>
      <c r="G8" s="31"/>
      <c r="H8" s="32">
        <f>+G8-$D$6</f>
        <v>0</v>
      </c>
      <c r="J8" s="47">
        <f t="shared" ref="J8:J26" si="0">ROUNDDOWN((D8/C8),0)</f>
        <v>0</v>
      </c>
      <c r="K8" s="48">
        <f>SUMIF(Data!E:E,'มหาชัย(2)'!B8,Data!F:F)*J8</f>
        <v>0</v>
      </c>
      <c r="L8" s="49">
        <f t="shared" ref="L8:L26" si="1">ROUNDUP((M8/C8),0)</f>
        <v>0</v>
      </c>
      <c r="M8" s="50">
        <f t="shared" ref="M8:M26" si="2">D8-K8</f>
        <v>0</v>
      </c>
      <c r="N8" s="33">
        <f>INDEX(Data!C:C,MATCH(F4,Data!B:B,0))</f>
        <v>60</v>
      </c>
      <c r="O8" s="51">
        <f t="shared" ref="O8:O26" si="3">H8-N8</f>
        <v>-60</v>
      </c>
    </row>
    <row r="9" spans="1:15" ht="44.45" customHeight="1" x14ac:dyDescent="0.2">
      <c r="A9" s="36">
        <v>2</v>
      </c>
      <c r="B9" s="26" t="s">
        <v>66</v>
      </c>
      <c r="C9" s="27">
        <f>SUMIF(Data!E:E,B9,Data!F:F)</f>
        <v>36</v>
      </c>
      <c r="D9" s="28"/>
      <c r="E9" s="29" t="s">
        <v>14</v>
      </c>
      <c r="F9" s="30"/>
      <c r="G9" s="31"/>
      <c r="H9" s="32">
        <f t="shared" ref="H9:H26" si="4">+G9-$D$6</f>
        <v>0</v>
      </c>
      <c r="J9" s="47">
        <f t="shared" si="0"/>
        <v>0</v>
      </c>
      <c r="K9" s="48">
        <f>SUMIF(Data!E:E,'มหาชัย(2)'!B9,Data!F:F)*J9</f>
        <v>0</v>
      </c>
      <c r="L9" s="49">
        <f t="shared" si="1"/>
        <v>0</v>
      </c>
      <c r="M9" s="50">
        <f t="shared" si="2"/>
        <v>0</v>
      </c>
      <c r="N9" s="33" t="e">
        <f>INDEX(Data!C:C,MATCH(F5,Data!B:B,0))</f>
        <v>#N/A</v>
      </c>
      <c r="O9" s="51" t="e">
        <f t="shared" si="3"/>
        <v>#N/A</v>
      </c>
    </row>
    <row r="10" spans="1:15" ht="44.45" customHeight="1" x14ac:dyDescent="0.2">
      <c r="A10" s="36">
        <v>3</v>
      </c>
      <c r="B10" s="26" t="s">
        <v>79</v>
      </c>
      <c r="C10" s="27">
        <f>SUMIF(Data!E:E,B10,Data!F:F)</f>
        <v>42</v>
      </c>
      <c r="D10" s="28"/>
      <c r="E10" s="29" t="s">
        <v>14</v>
      </c>
      <c r="F10" s="30"/>
      <c r="G10" s="31"/>
      <c r="H10" s="32">
        <f t="shared" si="4"/>
        <v>0</v>
      </c>
      <c r="J10" s="47">
        <f t="shared" si="0"/>
        <v>0</v>
      </c>
      <c r="K10" s="48">
        <f>SUMIF(Data!E:E,'มหาชัย(2)'!B10,Data!F:F)*J10</f>
        <v>0</v>
      </c>
      <c r="L10" s="49">
        <f t="shared" si="1"/>
        <v>0</v>
      </c>
      <c r="M10" s="50">
        <f t="shared" si="2"/>
        <v>0</v>
      </c>
      <c r="N10" s="33" t="e">
        <f>INDEX(Data!C:C,MATCH(F6,Data!B:B,0))</f>
        <v>#N/A</v>
      </c>
      <c r="O10" s="51" t="e">
        <f t="shared" si="3"/>
        <v>#N/A</v>
      </c>
    </row>
    <row r="11" spans="1:15" ht="44.45" customHeight="1" x14ac:dyDescent="0.2">
      <c r="A11" s="36">
        <v>4</v>
      </c>
      <c r="B11" s="26" t="s">
        <v>80</v>
      </c>
      <c r="C11" s="27">
        <f>SUMIF(Data!E:E,B11,Data!F:F)</f>
        <v>50</v>
      </c>
      <c r="D11" s="28"/>
      <c r="E11" s="29" t="s">
        <v>14</v>
      </c>
      <c r="F11" s="30"/>
      <c r="G11" s="31"/>
      <c r="H11" s="32">
        <f t="shared" si="4"/>
        <v>0</v>
      </c>
      <c r="J11" s="47">
        <f t="shared" si="0"/>
        <v>0</v>
      </c>
      <c r="K11" s="48">
        <f>SUMIF(Data!E:E,'มหาชัย(2)'!B11,Data!F:F)*J11</f>
        <v>0</v>
      </c>
      <c r="L11" s="49">
        <f t="shared" si="1"/>
        <v>0</v>
      </c>
      <c r="M11" s="50">
        <f t="shared" si="2"/>
        <v>0</v>
      </c>
      <c r="N11" s="33" t="e">
        <f>INDEX(Data!C:C,MATCH(F7,Data!B:B,0))</f>
        <v>#N/A</v>
      </c>
      <c r="O11" s="51" t="e">
        <f t="shared" si="3"/>
        <v>#N/A</v>
      </c>
    </row>
    <row r="12" spans="1:15" ht="44.45" customHeight="1" x14ac:dyDescent="0.2">
      <c r="A12" s="36">
        <v>5</v>
      </c>
      <c r="B12" s="26" t="s">
        <v>71</v>
      </c>
      <c r="C12" s="27">
        <f>SUMIF(Data!E:E,B12,Data!F:F)</f>
        <v>81</v>
      </c>
      <c r="D12" s="28"/>
      <c r="E12" s="29" t="s">
        <v>14</v>
      </c>
      <c r="F12" s="30"/>
      <c r="G12" s="31"/>
      <c r="H12" s="32">
        <f t="shared" si="4"/>
        <v>0</v>
      </c>
      <c r="J12" s="47">
        <f t="shared" si="0"/>
        <v>0</v>
      </c>
      <c r="K12" s="48">
        <f>SUMIF(Data!E:E,'มหาชัย(2)'!B12,Data!F:F)*J12</f>
        <v>0</v>
      </c>
      <c r="L12" s="49">
        <f t="shared" si="1"/>
        <v>0</v>
      </c>
      <c r="M12" s="50">
        <f t="shared" si="2"/>
        <v>0</v>
      </c>
      <c r="N12" s="33" t="e">
        <f>INDEX(Data!C:C,MATCH(F8,Data!B:B,0))</f>
        <v>#N/A</v>
      </c>
      <c r="O12" s="51" t="e">
        <f t="shared" si="3"/>
        <v>#N/A</v>
      </c>
    </row>
    <row r="13" spans="1:15" ht="44.45" customHeight="1" x14ac:dyDescent="0.2">
      <c r="A13" s="36">
        <v>6</v>
      </c>
      <c r="B13" s="26" t="s">
        <v>84</v>
      </c>
      <c r="C13" s="27">
        <f>SUMIF(Data!E:E,B13,Data!F:F)</f>
        <v>42</v>
      </c>
      <c r="D13" s="28"/>
      <c r="E13" s="29" t="s">
        <v>14</v>
      </c>
      <c r="F13" s="30"/>
      <c r="G13" s="31"/>
      <c r="H13" s="32">
        <f t="shared" si="4"/>
        <v>0</v>
      </c>
      <c r="J13" s="47">
        <f t="shared" si="0"/>
        <v>0</v>
      </c>
      <c r="K13" s="48">
        <f>SUMIF(Data!E:E,'มหาชัย(2)'!B13,Data!F:F)*J13</f>
        <v>0</v>
      </c>
      <c r="L13" s="49">
        <f t="shared" si="1"/>
        <v>0</v>
      </c>
      <c r="M13" s="50">
        <f t="shared" si="2"/>
        <v>0</v>
      </c>
      <c r="N13" s="33" t="e">
        <f>INDEX(Data!C:C,MATCH(F9,Data!B:B,0))</f>
        <v>#N/A</v>
      </c>
      <c r="O13" s="51" t="e">
        <f t="shared" si="3"/>
        <v>#N/A</v>
      </c>
    </row>
    <row r="14" spans="1:15" ht="44.45" customHeight="1" x14ac:dyDescent="0.2">
      <c r="A14" s="36">
        <v>7</v>
      </c>
      <c r="B14" s="26" t="s">
        <v>85</v>
      </c>
      <c r="C14" s="27">
        <f>SUMIF(Data!E:E,B14,Data!F:F)</f>
        <v>32</v>
      </c>
      <c r="D14" s="28"/>
      <c r="E14" s="29" t="s">
        <v>14</v>
      </c>
      <c r="F14" s="30"/>
      <c r="G14" s="31"/>
      <c r="H14" s="32">
        <f t="shared" si="4"/>
        <v>0</v>
      </c>
      <c r="J14" s="47">
        <f t="shared" si="0"/>
        <v>0</v>
      </c>
      <c r="K14" s="48">
        <f>SUMIF(Data!E:E,'มหาชัย(2)'!B14,Data!F:F)*J14</f>
        <v>0</v>
      </c>
      <c r="L14" s="49">
        <f t="shared" si="1"/>
        <v>0</v>
      </c>
      <c r="M14" s="50">
        <f t="shared" si="2"/>
        <v>0</v>
      </c>
      <c r="N14" s="33" t="e">
        <f>INDEX(Data!C:C,MATCH(F10,Data!B:B,0))</f>
        <v>#N/A</v>
      </c>
      <c r="O14" s="51" t="e">
        <f t="shared" si="3"/>
        <v>#N/A</v>
      </c>
    </row>
    <row r="15" spans="1:15" ht="44.45" customHeight="1" x14ac:dyDescent="0.2">
      <c r="A15" s="36">
        <v>8</v>
      </c>
      <c r="B15" s="26" t="s">
        <v>76</v>
      </c>
      <c r="C15" s="27">
        <f>SUMIF(Data!E:E,B15,Data!F:F)</f>
        <v>70</v>
      </c>
      <c r="D15" s="28"/>
      <c r="E15" s="29" t="s">
        <v>14</v>
      </c>
      <c r="F15" s="30"/>
      <c r="G15" s="31"/>
      <c r="H15" s="32">
        <f t="shared" si="4"/>
        <v>0</v>
      </c>
      <c r="J15" s="47">
        <f t="shared" si="0"/>
        <v>0</v>
      </c>
      <c r="K15" s="48">
        <f>SUMIF(Data!E:E,'มหาชัย(2)'!B15,Data!F:F)*J15</f>
        <v>0</v>
      </c>
      <c r="L15" s="49">
        <f t="shared" si="1"/>
        <v>0</v>
      </c>
      <c r="M15" s="50">
        <f t="shared" si="2"/>
        <v>0</v>
      </c>
      <c r="N15" s="33" t="e">
        <f>INDEX(Data!C:C,MATCH(F11,Data!B:B,0))</f>
        <v>#N/A</v>
      </c>
      <c r="O15" s="51" t="e">
        <f t="shared" si="3"/>
        <v>#N/A</v>
      </c>
    </row>
    <row r="16" spans="1:15" ht="44.45" customHeight="1" x14ac:dyDescent="0.2">
      <c r="A16" s="36">
        <v>9</v>
      </c>
      <c r="B16" s="26" t="s">
        <v>89</v>
      </c>
      <c r="C16" s="27">
        <f>SUMIF(Data!E:E,B16,Data!F:F)</f>
        <v>45</v>
      </c>
      <c r="D16" s="28"/>
      <c r="E16" s="29" t="s">
        <v>14</v>
      </c>
      <c r="F16" s="30"/>
      <c r="G16" s="31"/>
      <c r="H16" s="32">
        <f t="shared" si="4"/>
        <v>0</v>
      </c>
      <c r="J16" s="47">
        <f t="shared" si="0"/>
        <v>0</v>
      </c>
      <c r="K16" s="48">
        <f>SUMIF(Data!E:E,'มหาชัย(2)'!B16,Data!F:F)*J16</f>
        <v>0</v>
      </c>
      <c r="L16" s="49">
        <f t="shared" si="1"/>
        <v>0</v>
      </c>
      <c r="M16" s="50">
        <f t="shared" si="2"/>
        <v>0</v>
      </c>
      <c r="N16" s="33" t="e">
        <f>INDEX(Data!C:C,MATCH(F12,Data!B:B,0))</f>
        <v>#N/A</v>
      </c>
      <c r="O16" s="51" t="e">
        <f t="shared" si="3"/>
        <v>#N/A</v>
      </c>
    </row>
    <row r="17" spans="1:15" ht="44.45" customHeight="1" x14ac:dyDescent="0.2">
      <c r="A17" s="36">
        <v>10</v>
      </c>
      <c r="B17" s="26" t="s">
        <v>88</v>
      </c>
      <c r="C17" s="27">
        <f>SUMIF(Data!E:E,B17,Data!F:F)</f>
        <v>48</v>
      </c>
      <c r="D17" s="28"/>
      <c r="E17" s="29" t="s">
        <v>14</v>
      </c>
      <c r="F17" s="30"/>
      <c r="G17" s="31"/>
      <c r="H17" s="32">
        <f t="shared" si="4"/>
        <v>0</v>
      </c>
      <c r="J17" s="47">
        <f t="shared" si="0"/>
        <v>0</v>
      </c>
      <c r="K17" s="48">
        <f>SUMIF(Data!E:E,'มหาชัย(2)'!B17,Data!F:F)*J17</f>
        <v>0</v>
      </c>
      <c r="L17" s="49">
        <f t="shared" si="1"/>
        <v>0</v>
      </c>
      <c r="M17" s="50">
        <f t="shared" si="2"/>
        <v>0</v>
      </c>
      <c r="N17" s="33" t="e">
        <f>INDEX(Data!C:C,MATCH(F13,Data!B:B,0))</f>
        <v>#N/A</v>
      </c>
      <c r="O17" s="51" t="e">
        <f t="shared" si="3"/>
        <v>#N/A</v>
      </c>
    </row>
    <row r="18" spans="1:15" ht="44.45" customHeight="1" x14ac:dyDescent="0.2">
      <c r="A18" s="36">
        <v>11</v>
      </c>
      <c r="B18" s="26" t="s">
        <v>87</v>
      </c>
      <c r="C18" s="27">
        <f>SUMIF(Data!E:E,B18,Data!F:F)</f>
        <v>48</v>
      </c>
      <c r="D18" s="28"/>
      <c r="E18" s="29" t="s">
        <v>14</v>
      </c>
      <c r="F18" s="30"/>
      <c r="G18" s="31"/>
      <c r="H18" s="32">
        <f t="shared" si="4"/>
        <v>0</v>
      </c>
      <c r="J18" s="47">
        <f t="shared" si="0"/>
        <v>0</v>
      </c>
      <c r="K18" s="48">
        <f>SUMIF(Data!E:E,'มหาชัย(2)'!B18,Data!F:F)*J18</f>
        <v>0</v>
      </c>
      <c r="L18" s="49">
        <f t="shared" si="1"/>
        <v>0</v>
      </c>
      <c r="M18" s="50">
        <f t="shared" si="2"/>
        <v>0</v>
      </c>
      <c r="N18" s="33" t="e">
        <f>INDEX(Data!C:C,MATCH(F14,Data!B:B,0))</f>
        <v>#N/A</v>
      </c>
      <c r="O18" s="51" t="e">
        <f t="shared" si="3"/>
        <v>#N/A</v>
      </c>
    </row>
    <row r="19" spans="1:15" ht="44.45" customHeight="1" x14ac:dyDescent="0.2">
      <c r="A19" s="36">
        <v>12</v>
      </c>
      <c r="B19" s="26" t="s">
        <v>90</v>
      </c>
      <c r="C19" s="27">
        <f>SUMIF(Data!E:E,B19,Data!F:F)</f>
        <v>60</v>
      </c>
      <c r="D19" s="28"/>
      <c r="E19" s="29" t="s">
        <v>14</v>
      </c>
      <c r="F19" s="30"/>
      <c r="G19" s="31"/>
      <c r="H19" s="32">
        <f t="shared" si="4"/>
        <v>0</v>
      </c>
      <c r="J19" s="47">
        <f t="shared" si="0"/>
        <v>0</v>
      </c>
      <c r="K19" s="48">
        <f>SUMIF(Data!E:E,'มหาชัย(2)'!B19,Data!F:F)*J19</f>
        <v>0</v>
      </c>
      <c r="L19" s="49">
        <f t="shared" si="1"/>
        <v>0</v>
      </c>
      <c r="M19" s="50">
        <f t="shared" si="2"/>
        <v>0</v>
      </c>
      <c r="N19" s="33" t="e">
        <f>INDEX(Data!C:C,MATCH(F15,Data!B:B,0))</f>
        <v>#N/A</v>
      </c>
      <c r="O19" s="51" t="e">
        <f t="shared" si="3"/>
        <v>#N/A</v>
      </c>
    </row>
    <row r="20" spans="1:15" ht="44.45" customHeight="1" x14ac:dyDescent="0.2">
      <c r="A20" s="36">
        <v>13</v>
      </c>
      <c r="B20" s="26" t="s">
        <v>91</v>
      </c>
      <c r="C20" s="27">
        <f>SUMIF(Data!E:E,B20,Data!F:F)</f>
        <v>50</v>
      </c>
      <c r="D20" s="28"/>
      <c r="E20" s="29" t="s">
        <v>14</v>
      </c>
      <c r="F20" s="30"/>
      <c r="G20" s="31"/>
      <c r="H20" s="32">
        <f t="shared" si="4"/>
        <v>0</v>
      </c>
      <c r="J20" s="47">
        <f t="shared" si="0"/>
        <v>0</v>
      </c>
      <c r="K20" s="48">
        <f>SUMIF(Data!E:E,'มหาชัย(2)'!B20,Data!F:F)*J20</f>
        <v>0</v>
      </c>
      <c r="L20" s="49">
        <f t="shared" si="1"/>
        <v>0</v>
      </c>
      <c r="M20" s="50">
        <f t="shared" si="2"/>
        <v>0</v>
      </c>
      <c r="N20" s="33" t="e">
        <f>INDEX(Data!C:C,MATCH(F16,Data!B:B,0))</f>
        <v>#N/A</v>
      </c>
      <c r="O20" s="51" t="e">
        <f t="shared" si="3"/>
        <v>#N/A</v>
      </c>
    </row>
    <row r="21" spans="1:15" ht="44.45" customHeight="1" x14ac:dyDescent="0.2">
      <c r="A21" s="36">
        <v>14</v>
      </c>
      <c r="B21" s="26" t="s">
        <v>93</v>
      </c>
      <c r="C21" s="27">
        <f>SUMIF(Data!E:E,B21,Data!F:F)</f>
        <v>60</v>
      </c>
      <c r="D21" s="28"/>
      <c r="E21" s="29" t="s">
        <v>14</v>
      </c>
      <c r="F21" s="30"/>
      <c r="G21" s="31"/>
      <c r="H21" s="32">
        <f t="shared" si="4"/>
        <v>0</v>
      </c>
      <c r="J21" s="47">
        <f t="shared" si="0"/>
        <v>0</v>
      </c>
      <c r="K21" s="48">
        <f>SUMIF(Data!E:E,'มหาชัย(2)'!B21,Data!F:F)*J21</f>
        <v>0</v>
      </c>
      <c r="L21" s="49">
        <f t="shared" si="1"/>
        <v>0</v>
      </c>
      <c r="M21" s="50">
        <f t="shared" si="2"/>
        <v>0</v>
      </c>
      <c r="N21" s="33" t="e">
        <f>INDEX(Data!C:C,MATCH(F17,Data!B:B,0))</f>
        <v>#N/A</v>
      </c>
      <c r="O21" s="51" t="e">
        <f t="shared" si="3"/>
        <v>#N/A</v>
      </c>
    </row>
    <row r="22" spans="1:15" ht="44.45" customHeight="1" x14ac:dyDescent="0.2">
      <c r="A22" s="36">
        <v>15</v>
      </c>
      <c r="B22" s="26" t="s">
        <v>94</v>
      </c>
      <c r="C22" s="27">
        <f>SUMIF(Data!E:E,B22,Data!F:F)</f>
        <v>55</v>
      </c>
      <c r="D22" s="28"/>
      <c r="E22" s="29" t="s">
        <v>14</v>
      </c>
      <c r="F22" s="30"/>
      <c r="G22" s="31"/>
      <c r="H22" s="32">
        <f t="shared" si="4"/>
        <v>0</v>
      </c>
      <c r="J22" s="47">
        <f t="shared" si="0"/>
        <v>0</v>
      </c>
      <c r="K22" s="48">
        <f>SUMIF(Data!E:E,'มหาชัย(2)'!B22,Data!F:F)*J22</f>
        <v>0</v>
      </c>
      <c r="L22" s="49">
        <f t="shared" si="1"/>
        <v>0</v>
      </c>
      <c r="M22" s="50">
        <f t="shared" si="2"/>
        <v>0</v>
      </c>
      <c r="N22" s="33" t="e">
        <f>INDEX(Data!C:C,MATCH(F18,Data!B:B,0))</f>
        <v>#N/A</v>
      </c>
      <c r="O22" s="51" t="e">
        <f t="shared" si="3"/>
        <v>#N/A</v>
      </c>
    </row>
    <row r="23" spans="1:15" ht="44.45" customHeight="1" x14ac:dyDescent="0.2">
      <c r="A23" s="36">
        <v>16</v>
      </c>
      <c r="B23" s="26" t="s">
        <v>95</v>
      </c>
      <c r="C23" s="27">
        <f>SUMIF(Data!E:E,B23,Data!F:F)</f>
        <v>50</v>
      </c>
      <c r="D23" s="28"/>
      <c r="E23" s="29" t="s">
        <v>14</v>
      </c>
      <c r="F23" s="30"/>
      <c r="G23" s="31"/>
      <c r="H23" s="32">
        <f t="shared" si="4"/>
        <v>0</v>
      </c>
      <c r="J23" s="47">
        <f t="shared" si="0"/>
        <v>0</v>
      </c>
      <c r="K23" s="48">
        <f>SUMIF(Data!E:E,'มหาชัย(2)'!B23,Data!F:F)*J23</f>
        <v>0</v>
      </c>
      <c r="L23" s="49">
        <f t="shared" si="1"/>
        <v>0</v>
      </c>
      <c r="M23" s="50">
        <f t="shared" si="2"/>
        <v>0</v>
      </c>
      <c r="N23" s="33" t="e">
        <f>INDEX(Data!C:C,MATCH(F19,Data!B:B,0))</f>
        <v>#N/A</v>
      </c>
      <c r="O23" s="51" t="e">
        <f t="shared" si="3"/>
        <v>#N/A</v>
      </c>
    </row>
    <row r="24" spans="1:15" ht="44.45" customHeight="1" x14ac:dyDescent="0.2">
      <c r="A24" s="36">
        <v>17</v>
      </c>
      <c r="B24" s="26" t="s">
        <v>98</v>
      </c>
      <c r="C24" s="27">
        <f>SUMIF(Data!E:E,B24,Data!F:F)</f>
        <v>55</v>
      </c>
      <c r="D24" s="28"/>
      <c r="E24" s="29" t="s">
        <v>14</v>
      </c>
      <c r="F24" s="30"/>
      <c r="G24" s="31"/>
      <c r="H24" s="32">
        <f t="shared" si="4"/>
        <v>0</v>
      </c>
      <c r="J24" s="47">
        <f t="shared" si="0"/>
        <v>0</v>
      </c>
      <c r="K24" s="48">
        <f>SUMIF(Data!E:E,'มหาชัย(2)'!B24,Data!F:F)*J24</f>
        <v>0</v>
      </c>
      <c r="L24" s="49">
        <f t="shared" si="1"/>
        <v>0</v>
      </c>
      <c r="M24" s="50">
        <f t="shared" si="2"/>
        <v>0</v>
      </c>
      <c r="N24" s="33" t="e">
        <f>INDEX(Data!C:C,MATCH(F20,Data!B:B,0))</f>
        <v>#N/A</v>
      </c>
      <c r="O24" s="51" t="e">
        <f t="shared" si="3"/>
        <v>#N/A</v>
      </c>
    </row>
    <row r="25" spans="1:15" ht="44.45" customHeight="1" x14ac:dyDescent="0.2">
      <c r="A25" s="36">
        <v>18</v>
      </c>
      <c r="B25" s="26" t="s">
        <v>99</v>
      </c>
      <c r="C25" s="27">
        <f>SUMIF(Data!E:E,B25,Data!F:F)</f>
        <v>55</v>
      </c>
      <c r="D25" s="28"/>
      <c r="E25" s="29" t="s">
        <v>14</v>
      </c>
      <c r="F25" s="30"/>
      <c r="G25" s="31"/>
      <c r="H25" s="32">
        <f t="shared" si="4"/>
        <v>0</v>
      </c>
      <c r="J25" s="47">
        <f t="shared" si="0"/>
        <v>0</v>
      </c>
      <c r="K25" s="48">
        <f>SUMIF(Data!E:E,'มหาชัย(2)'!B25,Data!F:F)*J25</f>
        <v>0</v>
      </c>
      <c r="L25" s="49">
        <f t="shared" si="1"/>
        <v>0</v>
      </c>
      <c r="M25" s="50">
        <f t="shared" si="2"/>
        <v>0</v>
      </c>
      <c r="N25" s="33" t="e">
        <f>INDEX(Data!C:C,MATCH(F21,Data!B:B,0))</f>
        <v>#N/A</v>
      </c>
      <c r="O25" s="51" t="e">
        <f t="shared" si="3"/>
        <v>#N/A</v>
      </c>
    </row>
    <row r="26" spans="1:15" ht="44.45" customHeight="1" x14ac:dyDescent="0.2">
      <c r="A26" s="36">
        <v>19</v>
      </c>
      <c r="B26" s="26" t="s">
        <v>100</v>
      </c>
      <c r="C26" s="27">
        <f>SUMIF(Data!E:E,B26,Data!F:F)</f>
        <v>81</v>
      </c>
      <c r="D26" s="28"/>
      <c r="E26" s="29" t="s">
        <v>14</v>
      </c>
      <c r="F26" s="30"/>
      <c r="G26" s="31"/>
      <c r="H26" s="32">
        <f t="shared" si="4"/>
        <v>0</v>
      </c>
      <c r="J26" s="47">
        <f t="shared" si="0"/>
        <v>0</v>
      </c>
      <c r="K26" s="48">
        <f>SUMIF(Data!E:E,'มหาชัย(2)'!B26,Data!F:F)*J26</f>
        <v>0</v>
      </c>
      <c r="L26" s="49">
        <f t="shared" si="1"/>
        <v>0</v>
      </c>
      <c r="M26" s="50">
        <f t="shared" si="2"/>
        <v>0</v>
      </c>
      <c r="N26" s="33" t="e">
        <f>INDEX(Data!C:C,MATCH(F22,Data!B:B,0))</f>
        <v>#N/A</v>
      </c>
      <c r="O26" s="51" t="e">
        <f t="shared" si="3"/>
        <v>#N/A</v>
      </c>
    </row>
    <row r="27" spans="1:15" ht="54.6" customHeight="1" x14ac:dyDescent="0.2">
      <c r="A27" s="60" t="s">
        <v>5</v>
      </c>
      <c r="B27" s="60"/>
      <c r="C27" s="40"/>
      <c r="D27" s="41"/>
      <c r="E27" s="42"/>
      <c r="F27" s="42"/>
      <c r="G27" s="42"/>
      <c r="H27" s="1"/>
      <c r="J27" s="14" t="s">
        <v>39</v>
      </c>
      <c r="K27" s="14" t="s">
        <v>41</v>
      </c>
      <c r="L27" s="14" t="s">
        <v>57</v>
      </c>
    </row>
    <row r="28" spans="1:15" ht="20.100000000000001" customHeight="1" x14ac:dyDescent="0.2">
      <c r="J28" s="13">
        <f>SUM($J$8:$J$26)</f>
        <v>0</v>
      </c>
      <c r="K28" s="13">
        <f>SUM($L$8:$L$26)</f>
        <v>0</v>
      </c>
      <c r="L28" s="13">
        <f>SUM(J28:K28)</f>
        <v>0</v>
      </c>
    </row>
    <row r="29" spans="1:15" ht="20.100000000000001" customHeight="1" x14ac:dyDescent="0.2">
      <c r="L29" s="13"/>
    </row>
    <row r="30" spans="1:15" ht="61.5" customHeight="1" x14ac:dyDescent="0.25">
      <c r="A30" s="8"/>
      <c r="B30" s="9" t="s">
        <v>29</v>
      </c>
      <c r="C30" s="9"/>
      <c r="G30" s="8" t="s">
        <v>31</v>
      </c>
      <c r="K30" s="20" t="s">
        <v>72</v>
      </c>
      <c r="L30" s="22">
        <f>SUM('รังสิต(2):รังสิต(1)'!L28)</f>
        <v>0</v>
      </c>
      <c r="N30" s="8"/>
      <c r="O30" s="8"/>
    </row>
    <row r="31" spans="1:15" ht="61.5" customHeight="1" x14ac:dyDescent="0.25">
      <c r="A31" s="8"/>
      <c r="B31" s="8" t="s">
        <v>28</v>
      </c>
      <c r="C31" s="8"/>
      <c r="F31" s="8"/>
      <c r="G31" s="8" t="s">
        <v>32</v>
      </c>
      <c r="H31" s="8"/>
      <c r="K31" s="20" t="s">
        <v>73</v>
      </c>
      <c r="L31" s="22">
        <f>+L30/200</f>
        <v>0</v>
      </c>
      <c r="N31" s="8"/>
      <c r="O31" s="8"/>
    </row>
    <row r="32" spans="1:15" ht="61.5" customHeight="1" x14ac:dyDescent="0.25">
      <c r="A32" s="8"/>
      <c r="B32" s="8" t="s">
        <v>30</v>
      </c>
      <c r="C32" s="8"/>
      <c r="F32" s="8"/>
      <c r="G32" s="8" t="s">
        <v>33</v>
      </c>
      <c r="H32" s="9"/>
      <c r="J32" s="11"/>
      <c r="L32" s="9"/>
      <c r="N32" s="9"/>
      <c r="O32" s="9"/>
    </row>
    <row r="33" ht="20.100000000000001" customHeight="1" x14ac:dyDescent="0.2"/>
    <row r="34" ht="20.100000000000001" customHeight="1" x14ac:dyDescent="0.2"/>
    <row r="35" ht="20.100000000000001" customHeight="1" x14ac:dyDescent="0.2"/>
    <row r="36" ht="20.100000000000001" customHeight="1" x14ac:dyDescent="0.2"/>
    <row r="37" ht="20.100000000000001" customHeight="1" x14ac:dyDescent="0.2"/>
    <row r="38" ht="20.100000000000001" customHeight="1" x14ac:dyDescent="0.2"/>
    <row r="39" ht="20.100000000000001" customHeight="1" x14ac:dyDescent="0.2"/>
    <row r="40" ht="20.100000000000001" customHeight="1" x14ac:dyDescent="0.2"/>
    <row r="41" ht="20.100000000000001" customHeight="1" x14ac:dyDescent="0.2"/>
  </sheetData>
  <mergeCells count="13">
    <mergeCell ref="A1:F2"/>
    <mergeCell ref="A3:H3"/>
    <mergeCell ref="D4:E4"/>
    <mergeCell ref="F4:H4"/>
    <mergeCell ref="A5:A6"/>
    <mergeCell ref="B5:B6"/>
    <mergeCell ref="D5:E5"/>
    <mergeCell ref="F5:H6"/>
    <mergeCell ref="J5:M5"/>
    <mergeCell ref="D6:E6"/>
    <mergeCell ref="J6:K6"/>
    <mergeCell ref="L6:M6"/>
    <mergeCell ref="A27:B27"/>
  </mergeCells>
  <conditionalFormatting sqref="H8:H26">
    <cfRule type="cellIs" dxfId="83" priority="5" operator="lessThan">
      <formula>-1</formula>
    </cfRule>
    <cfRule type="cellIs" dxfId="82" priority="6" operator="equal">
      <formula>"-"</formula>
    </cfRule>
  </conditionalFormatting>
  <conditionalFormatting sqref="J8:O26">
    <cfRule type="containsErrors" dxfId="81" priority="4">
      <formula>ISERROR(J8)</formula>
    </cfRule>
  </conditionalFormatting>
  <conditionalFormatting sqref="O8:O26">
    <cfRule type="cellIs" dxfId="80" priority="1" operator="lessThan">
      <formula>0</formula>
    </cfRule>
    <cfRule type="cellIs" dxfId="79" priority="2" operator="greaterThan">
      <formula>15</formula>
    </cfRule>
    <cfRule type="cellIs" dxfId="78" priority="3" operator="lessThan">
      <formula>16</formula>
    </cfRule>
  </conditionalFormatting>
  <pageMargins left="0.7" right="0.7" top="0.75" bottom="0.75" header="0.3" footer="0.3"/>
  <pageSetup paperSize="9" scale="38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FDE7EA-DA03-46EB-9A15-B839E3BE8CB1}">
          <x14:formula1>
            <xm:f>Data!$B$2:$B$22</xm:f>
          </x14:formula1>
          <xm:sqref>F4</xm:sqref>
        </x14:dataValidation>
        <x14:dataValidation type="list" allowBlank="1" showInputMessage="1" showErrorMessage="1" xr:uid="{248131E6-EDCC-4C86-AC54-41E3998A866C}">
          <x14:formula1>
            <xm:f>Data!$G$2:$G$6</xm:f>
          </x14:formula1>
          <xm:sqref>E8:E26</xm:sqref>
        </x14:dataValidation>
        <x14:dataValidation type="list" allowBlank="1" showInputMessage="1" showErrorMessage="1" xr:uid="{B87D9FB4-E2D7-467D-BDB7-6FDD96CC6113}">
          <x14:formula1>
            <xm:f>Data!$E$2:$E$37</xm:f>
          </x14:formula1>
          <xm:sqref>B8:B26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BD3ED-6916-454F-8D60-B8F59BF74790}">
  <sheetPr>
    <tabColor rgb="FF92D050"/>
    <pageSetUpPr fitToPage="1"/>
  </sheetPr>
  <dimension ref="A1:O41"/>
  <sheetViews>
    <sheetView topLeftCell="A7" zoomScale="55" zoomScaleNormal="55" zoomScaleSheetLayoutView="50" workbookViewId="0">
      <selection activeCell="B26" sqref="B26"/>
    </sheetView>
  </sheetViews>
  <sheetFormatPr defaultRowHeight="14.25" x14ac:dyDescent="0.2"/>
  <cols>
    <col min="2" max="2" width="60.875" customWidth="1"/>
    <col min="3" max="3" width="9.375" customWidth="1"/>
    <col min="4" max="4" width="19.625" customWidth="1"/>
    <col min="5" max="5" width="10.375" customWidth="1"/>
    <col min="6" max="7" width="22.125" customWidth="1"/>
    <col min="8" max="8" width="20.875" customWidth="1"/>
    <col min="9" max="9" width="1.875" customWidth="1"/>
    <col min="10" max="10" width="13.875" customWidth="1"/>
    <col min="11" max="11" width="25.125" bestFit="1" customWidth="1"/>
    <col min="12" max="13" width="13.875" customWidth="1"/>
    <col min="14" max="14" width="8.75" customWidth="1"/>
    <col min="15" max="15" width="18.125" customWidth="1"/>
  </cols>
  <sheetData>
    <row r="1" spans="1:15" ht="39.6" customHeight="1" x14ac:dyDescent="0.2">
      <c r="A1" s="61" t="s">
        <v>19</v>
      </c>
      <c r="B1" s="61"/>
      <c r="C1" s="61"/>
      <c r="D1" s="61"/>
      <c r="E1" s="61"/>
      <c r="F1" s="61"/>
      <c r="G1" s="6" t="s">
        <v>17</v>
      </c>
      <c r="H1" s="5" t="s">
        <v>58</v>
      </c>
    </row>
    <row r="2" spans="1:15" ht="40.5" customHeight="1" thickBot="1" x14ac:dyDescent="0.25">
      <c r="A2" s="62"/>
      <c r="B2" s="62"/>
      <c r="C2" s="62"/>
      <c r="D2" s="62"/>
      <c r="E2" s="62"/>
      <c r="F2" s="62"/>
      <c r="G2" s="6" t="s">
        <v>27</v>
      </c>
      <c r="H2" s="15"/>
    </row>
    <row r="3" spans="1:15" ht="48.6" customHeight="1" x14ac:dyDescent="0.2">
      <c r="A3" s="63" t="s">
        <v>1</v>
      </c>
      <c r="B3" s="64"/>
      <c r="C3" s="64"/>
      <c r="D3" s="64"/>
      <c r="E3" s="64"/>
      <c r="F3" s="64"/>
      <c r="G3" s="64"/>
      <c r="H3" s="65"/>
    </row>
    <row r="4" spans="1:15" ht="54.95" customHeight="1" x14ac:dyDescent="0.2">
      <c r="A4" s="33" t="s">
        <v>0</v>
      </c>
      <c r="B4" s="34" t="s">
        <v>21</v>
      </c>
      <c r="C4" s="35"/>
      <c r="D4" s="66" t="s">
        <v>6</v>
      </c>
      <c r="E4" s="66"/>
      <c r="F4" s="57" t="s">
        <v>48</v>
      </c>
      <c r="G4" s="57"/>
      <c r="H4" s="57"/>
    </row>
    <row r="5" spans="1:15" ht="30.95" customHeight="1" x14ac:dyDescent="0.2">
      <c r="A5" s="55" t="s">
        <v>2</v>
      </c>
      <c r="B5" s="67"/>
      <c r="C5" s="37"/>
      <c r="D5" s="55" t="s">
        <v>18</v>
      </c>
      <c r="E5" s="55"/>
      <c r="F5" s="68"/>
      <c r="G5" s="68"/>
      <c r="H5" s="68"/>
      <c r="J5" s="55" t="s">
        <v>38</v>
      </c>
      <c r="K5" s="55"/>
      <c r="L5" s="55"/>
      <c r="M5" s="55"/>
    </row>
    <row r="6" spans="1:15" ht="30.6" customHeight="1" x14ac:dyDescent="0.2">
      <c r="A6" s="55"/>
      <c r="B6" s="67"/>
      <c r="C6" s="37"/>
      <c r="D6" s="56"/>
      <c r="E6" s="57"/>
      <c r="F6" s="68"/>
      <c r="G6" s="68"/>
      <c r="H6" s="68"/>
      <c r="J6" s="58" t="s">
        <v>39</v>
      </c>
      <c r="K6" s="58"/>
      <c r="L6" s="59" t="s">
        <v>41</v>
      </c>
      <c r="M6" s="59"/>
    </row>
    <row r="7" spans="1:15" s="7" customFormat="1" ht="36.6" customHeight="1" x14ac:dyDescent="0.25">
      <c r="A7" s="38" t="s">
        <v>3</v>
      </c>
      <c r="B7" s="38" t="s">
        <v>4</v>
      </c>
      <c r="C7" s="38" t="s">
        <v>42</v>
      </c>
      <c r="D7" s="38" t="s">
        <v>11</v>
      </c>
      <c r="E7" s="38" t="s">
        <v>12</v>
      </c>
      <c r="F7" s="38" t="s">
        <v>9</v>
      </c>
      <c r="G7" s="38" t="s">
        <v>10</v>
      </c>
      <c r="H7" s="39" t="s">
        <v>24</v>
      </c>
      <c r="J7" s="43" t="s">
        <v>40</v>
      </c>
      <c r="K7" s="44" t="s">
        <v>14</v>
      </c>
      <c r="L7" s="45" t="s">
        <v>40</v>
      </c>
      <c r="M7" s="46" t="s">
        <v>14</v>
      </c>
      <c r="N7" s="42" t="s">
        <v>25</v>
      </c>
      <c r="O7" s="42" t="s">
        <v>26</v>
      </c>
    </row>
    <row r="8" spans="1:15" ht="44.45" customHeight="1" x14ac:dyDescent="0.2">
      <c r="A8" s="36">
        <v>1</v>
      </c>
      <c r="B8" s="26" t="s">
        <v>77</v>
      </c>
      <c r="C8" s="27">
        <f>SUMIF(Data!E:E,B8,Data!F:F)</f>
        <v>42</v>
      </c>
      <c r="D8" s="28"/>
      <c r="E8" s="29" t="s">
        <v>14</v>
      </c>
      <c r="F8" s="30"/>
      <c r="G8" s="31"/>
      <c r="H8" s="32">
        <f>+G8-$D$6</f>
        <v>0</v>
      </c>
      <c r="J8" s="47">
        <f t="shared" ref="J8:J26" si="0">ROUNDDOWN((D8/C8),0)</f>
        <v>0</v>
      </c>
      <c r="K8" s="48">
        <f>SUMIF(Data!E:E,'มหาชัย(2)'!B8,Data!F:F)*J8</f>
        <v>0</v>
      </c>
      <c r="L8" s="49">
        <f t="shared" ref="L8:L26" si="1">ROUNDUP((M8/C8),0)</f>
        <v>0</v>
      </c>
      <c r="M8" s="50">
        <f t="shared" ref="M8:M26" si="2">D8-K8</f>
        <v>0</v>
      </c>
      <c r="N8" s="33">
        <f>INDEX(Data!C:C,MATCH(F4,Data!B:B,0))</f>
        <v>60</v>
      </c>
      <c r="O8" s="51">
        <f t="shared" ref="O8:O26" si="3">H8-N8</f>
        <v>-60</v>
      </c>
    </row>
    <row r="9" spans="1:15" ht="44.45" customHeight="1" x14ac:dyDescent="0.2">
      <c r="A9" s="36">
        <v>2</v>
      </c>
      <c r="B9" s="26" t="s">
        <v>66</v>
      </c>
      <c r="C9" s="27">
        <f>SUMIF(Data!E:E,B9,Data!F:F)</f>
        <v>36</v>
      </c>
      <c r="D9" s="28"/>
      <c r="E9" s="29" t="s">
        <v>14</v>
      </c>
      <c r="F9" s="30"/>
      <c r="G9" s="31"/>
      <c r="H9" s="32">
        <f t="shared" ref="H9:H26" si="4">+G9-$D$6</f>
        <v>0</v>
      </c>
      <c r="J9" s="47">
        <f t="shared" si="0"/>
        <v>0</v>
      </c>
      <c r="K9" s="48">
        <f>SUMIF(Data!E:E,'มหาชัย(2)'!B9,Data!F:F)*J9</f>
        <v>0</v>
      </c>
      <c r="L9" s="49">
        <f t="shared" si="1"/>
        <v>0</v>
      </c>
      <c r="M9" s="50">
        <f t="shared" si="2"/>
        <v>0</v>
      </c>
      <c r="N9" s="33" t="e">
        <f>INDEX(Data!C:C,MATCH(F5,Data!B:B,0))</f>
        <v>#N/A</v>
      </c>
      <c r="O9" s="51" t="e">
        <f t="shared" si="3"/>
        <v>#N/A</v>
      </c>
    </row>
    <row r="10" spans="1:15" ht="44.45" customHeight="1" x14ac:dyDescent="0.2">
      <c r="A10" s="36">
        <v>3</v>
      </c>
      <c r="B10" s="26" t="s">
        <v>79</v>
      </c>
      <c r="C10" s="27">
        <f>SUMIF(Data!E:E,B10,Data!F:F)</f>
        <v>42</v>
      </c>
      <c r="D10" s="28"/>
      <c r="E10" s="29" t="s">
        <v>14</v>
      </c>
      <c r="F10" s="30"/>
      <c r="G10" s="31"/>
      <c r="H10" s="32">
        <f t="shared" si="4"/>
        <v>0</v>
      </c>
      <c r="J10" s="47">
        <f t="shared" si="0"/>
        <v>0</v>
      </c>
      <c r="K10" s="48">
        <f>SUMIF(Data!E:E,'มหาชัย(2)'!B10,Data!F:F)*J10</f>
        <v>0</v>
      </c>
      <c r="L10" s="49">
        <f t="shared" si="1"/>
        <v>0</v>
      </c>
      <c r="M10" s="50">
        <f t="shared" si="2"/>
        <v>0</v>
      </c>
      <c r="N10" s="33" t="e">
        <f>INDEX(Data!C:C,MATCH(F6,Data!B:B,0))</f>
        <v>#N/A</v>
      </c>
      <c r="O10" s="51" t="e">
        <f t="shared" si="3"/>
        <v>#N/A</v>
      </c>
    </row>
    <row r="11" spans="1:15" ht="44.45" customHeight="1" x14ac:dyDescent="0.2">
      <c r="A11" s="36">
        <v>4</v>
      </c>
      <c r="B11" s="26" t="s">
        <v>80</v>
      </c>
      <c r="C11" s="27">
        <f>SUMIF(Data!E:E,B11,Data!F:F)</f>
        <v>50</v>
      </c>
      <c r="D11" s="28"/>
      <c r="E11" s="29" t="s">
        <v>14</v>
      </c>
      <c r="F11" s="30"/>
      <c r="G11" s="31"/>
      <c r="H11" s="32">
        <f t="shared" si="4"/>
        <v>0</v>
      </c>
      <c r="J11" s="47">
        <f t="shared" si="0"/>
        <v>0</v>
      </c>
      <c r="K11" s="48">
        <f>SUMIF(Data!E:E,'มหาชัย(2)'!B11,Data!F:F)*J11</f>
        <v>0</v>
      </c>
      <c r="L11" s="49">
        <f t="shared" si="1"/>
        <v>0</v>
      </c>
      <c r="M11" s="50">
        <f t="shared" si="2"/>
        <v>0</v>
      </c>
      <c r="N11" s="33" t="e">
        <f>INDEX(Data!C:C,MATCH(F7,Data!B:B,0))</f>
        <v>#N/A</v>
      </c>
      <c r="O11" s="51" t="e">
        <f t="shared" si="3"/>
        <v>#N/A</v>
      </c>
    </row>
    <row r="12" spans="1:15" ht="44.45" customHeight="1" x14ac:dyDescent="0.2">
      <c r="A12" s="36">
        <v>5</v>
      </c>
      <c r="B12" s="26" t="s">
        <v>71</v>
      </c>
      <c r="C12" s="27">
        <f>SUMIF(Data!E:E,B12,Data!F:F)</f>
        <v>81</v>
      </c>
      <c r="D12" s="28"/>
      <c r="E12" s="29" t="s">
        <v>14</v>
      </c>
      <c r="F12" s="30"/>
      <c r="G12" s="31"/>
      <c r="H12" s="32">
        <f t="shared" si="4"/>
        <v>0</v>
      </c>
      <c r="J12" s="47">
        <f t="shared" si="0"/>
        <v>0</v>
      </c>
      <c r="K12" s="48">
        <f>SUMIF(Data!E:E,'มหาชัย(2)'!B12,Data!F:F)*J12</f>
        <v>0</v>
      </c>
      <c r="L12" s="49">
        <f t="shared" si="1"/>
        <v>0</v>
      </c>
      <c r="M12" s="50">
        <f t="shared" si="2"/>
        <v>0</v>
      </c>
      <c r="N12" s="33" t="e">
        <f>INDEX(Data!C:C,MATCH(F8,Data!B:B,0))</f>
        <v>#N/A</v>
      </c>
      <c r="O12" s="51" t="e">
        <f t="shared" si="3"/>
        <v>#N/A</v>
      </c>
    </row>
    <row r="13" spans="1:15" ht="44.45" customHeight="1" x14ac:dyDescent="0.2">
      <c r="A13" s="36">
        <v>6</v>
      </c>
      <c r="B13" s="26" t="s">
        <v>84</v>
      </c>
      <c r="C13" s="27">
        <f>SUMIF(Data!E:E,B13,Data!F:F)</f>
        <v>42</v>
      </c>
      <c r="D13" s="28"/>
      <c r="E13" s="29" t="s">
        <v>14</v>
      </c>
      <c r="F13" s="30"/>
      <c r="G13" s="31"/>
      <c r="H13" s="32">
        <f t="shared" si="4"/>
        <v>0</v>
      </c>
      <c r="J13" s="47">
        <f t="shared" si="0"/>
        <v>0</v>
      </c>
      <c r="K13" s="48">
        <f>SUMIF(Data!E:E,'มหาชัย(2)'!B13,Data!F:F)*J13</f>
        <v>0</v>
      </c>
      <c r="L13" s="49">
        <f t="shared" si="1"/>
        <v>0</v>
      </c>
      <c r="M13" s="50">
        <f t="shared" si="2"/>
        <v>0</v>
      </c>
      <c r="N13" s="33" t="e">
        <f>INDEX(Data!C:C,MATCH(F9,Data!B:B,0))</f>
        <v>#N/A</v>
      </c>
      <c r="O13" s="51" t="e">
        <f t="shared" si="3"/>
        <v>#N/A</v>
      </c>
    </row>
    <row r="14" spans="1:15" ht="44.45" customHeight="1" x14ac:dyDescent="0.2">
      <c r="A14" s="36">
        <v>7</v>
      </c>
      <c r="B14" s="26" t="s">
        <v>85</v>
      </c>
      <c r="C14" s="27">
        <f>SUMIF(Data!E:E,B14,Data!F:F)</f>
        <v>32</v>
      </c>
      <c r="D14" s="28"/>
      <c r="E14" s="29" t="s">
        <v>14</v>
      </c>
      <c r="F14" s="30"/>
      <c r="G14" s="31"/>
      <c r="H14" s="32">
        <f t="shared" si="4"/>
        <v>0</v>
      </c>
      <c r="J14" s="47">
        <f t="shared" si="0"/>
        <v>0</v>
      </c>
      <c r="K14" s="48">
        <f>SUMIF(Data!E:E,'มหาชัย(2)'!B14,Data!F:F)*J14</f>
        <v>0</v>
      </c>
      <c r="L14" s="49">
        <f t="shared" si="1"/>
        <v>0</v>
      </c>
      <c r="M14" s="50">
        <f t="shared" si="2"/>
        <v>0</v>
      </c>
      <c r="N14" s="33" t="e">
        <f>INDEX(Data!C:C,MATCH(F10,Data!B:B,0))</f>
        <v>#N/A</v>
      </c>
      <c r="O14" s="51" t="e">
        <f t="shared" si="3"/>
        <v>#N/A</v>
      </c>
    </row>
    <row r="15" spans="1:15" ht="44.45" customHeight="1" x14ac:dyDescent="0.2">
      <c r="A15" s="36">
        <v>8</v>
      </c>
      <c r="B15" s="26" t="s">
        <v>76</v>
      </c>
      <c r="C15" s="27">
        <f>SUMIF(Data!E:E,B15,Data!F:F)</f>
        <v>70</v>
      </c>
      <c r="D15" s="28"/>
      <c r="E15" s="29" t="s">
        <v>14</v>
      </c>
      <c r="F15" s="30"/>
      <c r="G15" s="31"/>
      <c r="H15" s="32">
        <f t="shared" si="4"/>
        <v>0</v>
      </c>
      <c r="J15" s="47">
        <f t="shared" si="0"/>
        <v>0</v>
      </c>
      <c r="K15" s="48">
        <f>SUMIF(Data!E:E,'มหาชัย(2)'!B15,Data!F:F)*J15</f>
        <v>0</v>
      </c>
      <c r="L15" s="49">
        <f t="shared" si="1"/>
        <v>0</v>
      </c>
      <c r="M15" s="50">
        <f t="shared" si="2"/>
        <v>0</v>
      </c>
      <c r="N15" s="33" t="e">
        <f>INDEX(Data!C:C,MATCH(F11,Data!B:B,0))</f>
        <v>#N/A</v>
      </c>
      <c r="O15" s="51" t="e">
        <f t="shared" si="3"/>
        <v>#N/A</v>
      </c>
    </row>
    <row r="16" spans="1:15" ht="44.45" customHeight="1" x14ac:dyDescent="0.2">
      <c r="A16" s="36">
        <v>9</v>
      </c>
      <c r="B16" s="26" t="s">
        <v>89</v>
      </c>
      <c r="C16" s="27">
        <f>SUMIF(Data!E:E,B16,Data!F:F)</f>
        <v>45</v>
      </c>
      <c r="D16" s="28"/>
      <c r="E16" s="29" t="s">
        <v>14</v>
      </c>
      <c r="F16" s="30"/>
      <c r="G16" s="31"/>
      <c r="H16" s="32">
        <f t="shared" si="4"/>
        <v>0</v>
      </c>
      <c r="J16" s="47">
        <f t="shared" si="0"/>
        <v>0</v>
      </c>
      <c r="K16" s="48">
        <f>SUMIF(Data!E:E,'มหาชัย(2)'!B16,Data!F:F)*J16</f>
        <v>0</v>
      </c>
      <c r="L16" s="49">
        <f t="shared" si="1"/>
        <v>0</v>
      </c>
      <c r="M16" s="50">
        <f t="shared" si="2"/>
        <v>0</v>
      </c>
      <c r="N16" s="33" t="e">
        <f>INDEX(Data!C:C,MATCH(F12,Data!B:B,0))</f>
        <v>#N/A</v>
      </c>
      <c r="O16" s="51" t="e">
        <f t="shared" si="3"/>
        <v>#N/A</v>
      </c>
    </row>
    <row r="17" spans="1:15" ht="44.45" customHeight="1" x14ac:dyDescent="0.2">
      <c r="A17" s="36">
        <v>10</v>
      </c>
      <c r="B17" s="26" t="s">
        <v>88</v>
      </c>
      <c r="C17" s="27">
        <f>SUMIF(Data!E:E,B17,Data!F:F)</f>
        <v>48</v>
      </c>
      <c r="D17" s="28"/>
      <c r="E17" s="29" t="s">
        <v>14</v>
      </c>
      <c r="F17" s="30"/>
      <c r="G17" s="31"/>
      <c r="H17" s="32">
        <f t="shared" si="4"/>
        <v>0</v>
      </c>
      <c r="J17" s="47">
        <f t="shared" si="0"/>
        <v>0</v>
      </c>
      <c r="K17" s="48">
        <f>SUMIF(Data!E:E,'มหาชัย(2)'!B17,Data!F:F)*J17</f>
        <v>0</v>
      </c>
      <c r="L17" s="49">
        <f t="shared" si="1"/>
        <v>0</v>
      </c>
      <c r="M17" s="50">
        <f t="shared" si="2"/>
        <v>0</v>
      </c>
      <c r="N17" s="33" t="e">
        <f>INDEX(Data!C:C,MATCH(F13,Data!B:B,0))</f>
        <v>#N/A</v>
      </c>
      <c r="O17" s="51" t="e">
        <f t="shared" si="3"/>
        <v>#N/A</v>
      </c>
    </row>
    <row r="18" spans="1:15" ht="44.45" customHeight="1" x14ac:dyDescent="0.2">
      <c r="A18" s="36">
        <v>11</v>
      </c>
      <c r="B18" s="26" t="s">
        <v>87</v>
      </c>
      <c r="C18" s="27">
        <f>SUMIF(Data!E:E,B18,Data!F:F)</f>
        <v>48</v>
      </c>
      <c r="D18" s="28"/>
      <c r="E18" s="29" t="s">
        <v>14</v>
      </c>
      <c r="F18" s="30"/>
      <c r="G18" s="31"/>
      <c r="H18" s="32">
        <f t="shared" si="4"/>
        <v>0</v>
      </c>
      <c r="J18" s="47">
        <f t="shared" si="0"/>
        <v>0</v>
      </c>
      <c r="K18" s="48">
        <f>SUMIF(Data!E:E,'มหาชัย(2)'!B18,Data!F:F)*J18</f>
        <v>0</v>
      </c>
      <c r="L18" s="49">
        <f t="shared" si="1"/>
        <v>0</v>
      </c>
      <c r="M18" s="50">
        <f t="shared" si="2"/>
        <v>0</v>
      </c>
      <c r="N18" s="33" t="e">
        <f>INDEX(Data!C:C,MATCH(F14,Data!B:B,0))</f>
        <v>#N/A</v>
      </c>
      <c r="O18" s="51" t="e">
        <f t="shared" si="3"/>
        <v>#N/A</v>
      </c>
    </row>
    <row r="19" spans="1:15" ht="44.45" customHeight="1" x14ac:dyDescent="0.2">
      <c r="A19" s="36">
        <v>12</v>
      </c>
      <c r="B19" s="26" t="s">
        <v>90</v>
      </c>
      <c r="C19" s="27">
        <f>SUMIF(Data!E:E,B19,Data!F:F)</f>
        <v>60</v>
      </c>
      <c r="D19" s="28"/>
      <c r="E19" s="29" t="s">
        <v>14</v>
      </c>
      <c r="F19" s="30"/>
      <c r="G19" s="31"/>
      <c r="H19" s="32">
        <f t="shared" si="4"/>
        <v>0</v>
      </c>
      <c r="J19" s="47">
        <f t="shared" si="0"/>
        <v>0</v>
      </c>
      <c r="K19" s="48">
        <f>SUMIF(Data!E:E,'มหาชัย(2)'!B19,Data!F:F)*J19</f>
        <v>0</v>
      </c>
      <c r="L19" s="49">
        <f t="shared" si="1"/>
        <v>0</v>
      </c>
      <c r="M19" s="50">
        <f t="shared" si="2"/>
        <v>0</v>
      </c>
      <c r="N19" s="33" t="e">
        <f>INDEX(Data!C:C,MATCH(F15,Data!B:B,0))</f>
        <v>#N/A</v>
      </c>
      <c r="O19" s="51" t="e">
        <f t="shared" si="3"/>
        <v>#N/A</v>
      </c>
    </row>
    <row r="20" spans="1:15" ht="44.45" customHeight="1" x14ac:dyDescent="0.2">
      <c r="A20" s="36">
        <v>13</v>
      </c>
      <c r="B20" s="26" t="s">
        <v>91</v>
      </c>
      <c r="C20" s="27">
        <f>SUMIF(Data!E:E,B20,Data!F:F)</f>
        <v>50</v>
      </c>
      <c r="D20" s="28"/>
      <c r="E20" s="29" t="s">
        <v>14</v>
      </c>
      <c r="F20" s="30"/>
      <c r="G20" s="31"/>
      <c r="H20" s="32">
        <f t="shared" si="4"/>
        <v>0</v>
      </c>
      <c r="J20" s="47">
        <f t="shared" si="0"/>
        <v>0</v>
      </c>
      <c r="K20" s="48">
        <f>SUMIF(Data!E:E,'มหาชัย(2)'!B20,Data!F:F)*J20</f>
        <v>0</v>
      </c>
      <c r="L20" s="49">
        <f t="shared" si="1"/>
        <v>0</v>
      </c>
      <c r="M20" s="50">
        <f t="shared" si="2"/>
        <v>0</v>
      </c>
      <c r="N20" s="33" t="e">
        <f>INDEX(Data!C:C,MATCH(F16,Data!B:B,0))</f>
        <v>#N/A</v>
      </c>
      <c r="O20" s="51" t="e">
        <f t="shared" si="3"/>
        <v>#N/A</v>
      </c>
    </row>
    <row r="21" spans="1:15" ht="44.45" customHeight="1" x14ac:dyDescent="0.2">
      <c r="A21" s="36">
        <v>14</v>
      </c>
      <c r="B21" s="26" t="s">
        <v>93</v>
      </c>
      <c r="C21" s="27">
        <f>SUMIF(Data!E:E,B21,Data!F:F)</f>
        <v>60</v>
      </c>
      <c r="D21" s="28"/>
      <c r="E21" s="29" t="s">
        <v>14</v>
      </c>
      <c r="F21" s="30"/>
      <c r="G21" s="31"/>
      <c r="H21" s="32">
        <f t="shared" si="4"/>
        <v>0</v>
      </c>
      <c r="J21" s="47">
        <f t="shared" si="0"/>
        <v>0</v>
      </c>
      <c r="K21" s="48">
        <f>SUMIF(Data!E:E,'มหาชัย(2)'!B21,Data!F:F)*J21</f>
        <v>0</v>
      </c>
      <c r="L21" s="49">
        <f t="shared" si="1"/>
        <v>0</v>
      </c>
      <c r="M21" s="50">
        <f t="shared" si="2"/>
        <v>0</v>
      </c>
      <c r="N21" s="33" t="e">
        <f>INDEX(Data!C:C,MATCH(F17,Data!B:B,0))</f>
        <v>#N/A</v>
      </c>
      <c r="O21" s="51" t="e">
        <f t="shared" si="3"/>
        <v>#N/A</v>
      </c>
    </row>
    <row r="22" spans="1:15" ht="44.45" customHeight="1" x14ac:dyDescent="0.2">
      <c r="A22" s="36">
        <v>15</v>
      </c>
      <c r="B22" s="26" t="s">
        <v>94</v>
      </c>
      <c r="C22" s="27">
        <f>SUMIF(Data!E:E,B22,Data!F:F)</f>
        <v>55</v>
      </c>
      <c r="D22" s="28"/>
      <c r="E22" s="29" t="s">
        <v>14</v>
      </c>
      <c r="F22" s="30"/>
      <c r="G22" s="31"/>
      <c r="H22" s="32">
        <f t="shared" si="4"/>
        <v>0</v>
      </c>
      <c r="J22" s="47">
        <f t="shared" si="0"/>
        <v>0</v>
      </c>
      <c r="K22" s="48">
        <f>SUMIF(Data!E:E,'มหาชัย(2)'!B22,Data!F:F)*J22</f>
        <v>0</v>
      </c>
      <c r="L22" s="49">
        <f t="shared" si="1"/>
        <v>0</v>
      </c>
      <c r="M22" s="50">
        <f t="shared" si="2"/>
        <v>0</v>
      </c>
      <c r="N22" s="33" t="e">
        <f>INDEX(Data!C:C,MATCH(F18,Data!B:B,0))</f>
        <v>#N/A</v>
      </c>
      <c r="O22" s="51" t="e">
        <f t="shared" si="3"/>
        <v>#N/A</v>
      </c>
    </row>
    <row r="23" spans="1:15" ht="44.45" customHeight="1" x14ac:dyDescent="0.2">
      <c r="A23" s="36">
        <v>16</v>
      </c>
      <c r="B23" s="26" t="s">
        <v>95</v>
      </c>
      <c r="C23" s="27">
        <f>SUMIF(Data!E:E,B23,Data!F:F)</f>
        <v>50</v>
      </c>
      <c r="D23" s="28"/>
      <c r="E23" s="29" t="s">
        <v>14</v>
      </c>
      <c r="F23" s="30"/>
      <c r="G23" s="31"/>
      <c r="H23" s="32">
        <f t="shared" si="4"/>
        <v>0</v>
      </c>
      <c r="J23" s="47">
        <f t="shared" si="0"/>
        <v>0</v>
      </c>
      <c r="K23" s="48">
        <f>SUMIF(Data!E:E,'มหาชัย(2)'!B23,Data!F:F)*J23</f>
        <v>0</v>
      </c>
      <c r="L23" s="49">
        <f t="shared" si="1"/>
        <v>0</v>
      </c>
      <c r="M23" s="50">
        <f t="shared" si="2"/>
        <v>0</v>
      </c>
      <c r="N23" s="33" t="e">
        <f>INDEX(Data!C:C,MATCH(F19,Data!B:B,0))</f>
        <v>#N/A</v>
      </c>
      <c r="O23" s="51" t="e">
        <f t="shared" si="3"/>
        <v>#N/A</v>
      </c>
    </row>
    <row r="24" spans="1:15" ht="44.45" customHeight="1" x14ac:dyDescent="0.2">
      <c r="A24" s="36">
        <v>17</v>
      </c>
      <c r="B24" s="26" t="s">
        <v>98</v>
      </c>
      <c r="C24" s="27">
        <f>SUMIF(Data!E:E,B24,Data!F:F)</f>
        <v>55</v>
      </c>
      <c r="D24" s="28"/>
      <c r="E24" s="29" t="s">
        <v>14</v>
      </c>
      <c r="F24" s="30"/>
      <c r="G24" s="31"/>
      <c r="H24" s="32">
        <f t="shared" si="4"/>
        <v>0</v>
      </c>
      <c r="J24" s="47">
        <f t="shared" si="0"/>
        <v>0</v>
      </c>
      <c r="K24" s="48">
        <f>SUMIF(Data!E:E,'มหาชัย(2)'!B24,Data!F:F)*J24</f>
        <v>0</v>
      </c>
      <c r="L24" s="49">
        <f t="shared" si="1"/>
        <v>0</v>
      </c>
      <c r="M24" s="50">
        <f t="shared" si="2"/>
        <v>0</v>
      </c>
      <c r="N24" s="33" t="e">
        <f>INDEX(Data!C:C,MATCH(F20,Data!B:B,0))</f>
        <v>#N/A</v>
      </c>
      <c r="O24" s="51" t="e">
        <f t="shared" si="3"/>
        <v>#N/A</v>
      </c>
    </row>
    <row r="25" spans="1:15" ht="44.45" customHeight="1" x14ac:dyDescent="0.2">
      <c r="A25" s="36">
        <v>18</v>
      </c>
      <c r="B25" s="26" t="s">
        <v>99</v>
      </c>
      <c r="C25" s="27">
        <f>SUMIF(Data!E:E,B25,Data!F:F)</f>
        <v>55</v>
      </c>
      <c r="D25" s="28"/>
      <c r="E25" s="29" t="s">
        <v>14</v>
      </c>
      <c r="F25" s="30"/>
      <c r="G25" s="31"/>
      <c r="H25" s="32">
        <f t="shared" si="4"/>
        <v>0</v>
      </c>
      <c r="J25" s="47">
        <f t="shared" si="0"/>
        <v>0</v>
      </c>
      <c r="K25" s="48">
        <f>SUMIF(Data!E:E,'มหาชัย(2)'!B25,Data!F:F)*J25</f>
        <v>0</v>
      </c>
      <c r="L25" s="49">
        <f t="shared" si="1"/>
        <v>0</v>
      </c>
      <c r="M25" s="50">
        <f t="shared" si="2"/>
        <v>0</v>
      </c>
      <c r="N25" s="33" t="e">
        <f>INDEX(Data!C:C,MATCH(F21,Data!B:B,0))</f>
        <v>#N/A</v>
      </c>
      <c r="O25" s="51" t="e">
        <f t="shared" si="3"/>
        <v>#N/A</v>
      </c>
    </row>
    <row r="26" spans="1:15" ht="44.45" customHeight="1" x14ac:dyDescent="0.2">
      <c r="A26" s="36">
        <v>19</v>
      </c>
      <c r="B26" s="26" t="s">
        <v>100</v>
      </c>
      <c r="C26" s="27">
        <f>SUMIF(Data!E:E,B26,Data!F:F)</f>
        <v>81</v>
      </c>
      <c r="D26" s="28"/>
      <c r="E26" s="29" t="s">
        <v>14</v>
      </c>
      <c r="F26" s="30"/>
      <c r="G26" s="31"/>
      <c r="H26" s="32">
        <f t="shared" si="4"/>
        <v>0</v>
      </c>
      <c r="J26" s="47">
        <f t="shared" si="0"/>
        <v>0</v>
      </c>
      <c r="K26" s="48">
        <f>SUMIF(Data!E:E,'มหาชัย(2)'!B26,Data!F:F)*J26</f>
        <v>0</v>
      </c>
      <c r="L26" s="49">
        <f t="shared" si="1"/>
        <v>0</v>
      </c>
      <c r="M26" s="50">
        <f t="shared" si="2"/>
        <v>0</v>
      </c>
      <c r="N26" s="33" t="e">
        <f>INDEX(Data!C:C,MATCH(F22,Data!B:B,0))</f>
        <v>#N/A</v>
      </c>
      <c r="O26" s="51" t="e">
        <f t="shared" si="3"/>
        <v>#N/A</v>
      </c>
    </row>
    <row r="27" spans="1:15" ht="54.6" customHeight="1" x14ac:dyDescent="0.2">
      <c r="A27" s="60" t="s">
        <v>5</v>
      </c>
      <c r="B27" s="60"/>
      <c r="C27" s="40"/>
      <c r="D27" s="41"/>
      <c r="E27" s="42"/>
      <c r="F27" s="42"/>
      <c r="G27" s="42"/>
      <c r="H27" s="1"/>
      <c r="J27" s="14" t="s">
        <v>39</v>
      </c>
      <c r="K27" s="14" t="s">
        <v>41</v>
      </c>
      <c r="L27" s="14" t="s">
        <v>57</v>
      </c>
    </row>
    <row r="28" spans="1:15" ht="20.100000000000001" customHeight="1" x14ac:dyDescent="0.2">
      <c r="J28" s="13">
        <f>SUM($J$8:$J$26)</f>
        <v>0</v>
      </c>
      <c r="K28" s="13">
        <f>SUM($L$8:$L$26)</f>
        <v>0</v>
      </c>
      <c r="L28" s="13">
        <f>SUM(J28:K28)</f>
        <v>0</v>
      </c>
    </row>
    <row r="29" spans="1:15" ht="20.100000000000001" customHeight="1" x14ac:dyDescent="0.2">
      <c r="L29" s="13"/>
    </row>
    <row r="30" spans="1:15" ht="61.5" customHeight="1" x14ac:dyDescent="0.25">
      <c r="A30" s="8"/>
      <c r="B30" s="9" t="s">
        <v>29</v>
      </c>
      <c r="C30" s="9"/>
      <c r="G30" s="8" t="s">
        <v>31</v>
      </c>
      <c r="N30" s="8"/>
      <c r="O30" s="8"/>
    </row>
    <row r="31" spans="1:15" ht="61.5" customHeight="1" x14ac:dyDescent="0.25">
      <c r="A31" s="8"/>
      <c r="B31" s="8" t="s">
        <v>28</v>
      </c>
      <c r="C31" s="8"/>
      <c r="F31" s="8"/>
      <c r="G31" s="8" t="s">
        <v>32</v>
      </c>
      <c r="H31" s="8"/>
      <c r="N31" s="8"/>
      <c r="O31" s="8"/>
    </row>
    <row r="32" spans="1:15" ht="61.5" customHeight="1" x14ac:dyDescent="0.25">
      <c r="A32" s="8"/>
      <c r="B32" s="8" t="s">
        <v>30</v>
      </c>
      <c r="C32" s="8"/>
      <c r="F32" s="8"/>
      <c r="G32" s="8" t="s">
        <v>33</v>
      </c>
      <c r="H32" s="9"/>
      <c r="J32" s="11"/>
      <c r="L32" s="9"/>
      <c r="N32" s="9"/>
      <c r="O32" s="9"/>
    </row>
    <row r="33" ht="20.100000000000001" customHeight="1" x14ac:dyDescent="0.2"/>
    <row r="34" ht="20.100000000000001" customHeight="1" x14ac:dyDescent="0.2"/>
    <row r="35" ht="20.100000000000001" customHeight="1" x14ac:dyDescent="0.2"/>
    <row r="36" ht="20.100000000000001" customHeight="1" x14ac:dyDescent="0.2"/>
    <row r="37" ht="20.100000000000001" customHeight="1" x14ac:dyDescent="0.2"/>
    <row r="38" ht="20.100000000000001" customHeight="1" x14ac:dyDescent="0.2"/>
    <row r="39" ht="20.100000000000001" customHeight="1" x14ac:dyDescent="0.2"/>
    <row r="40" ht="20.100000000000001" customHeight="1" x14ac:dyDescent="0.2"/>
    <row r="41" ht="20.100000000000001" customHeight="1" x14ac:dyDescent="0.2"/>
  </sheetData>
  <mergeCells count="13">
    <mergeCell ref="A1:F2"/>
    <mergeCell ref="A3:H3"/>
    <mergeCell ref="D4:E4"/>
    <mergeCell ref="F4:H4"/>
    <mergeCell ref="A5:A6"/>
    <mergeCell ref="B5:B6"/>
    <mergeCell ref="D5:E5"/>
    <mergeCell ref="F5:H6"/>
    <mergeCell ref="J5:M5"/>
    <mergeCell ref="D6:E6"/>
    <mergeCell ref="J6:K6"/>
    <mergeCell ref="L6:M6"/>
    <mergeCell ref="A27:B27"/>
  </mergeCells>
  <conditionalFormatting sqref="H8:H26">
    <cfRule type="cellIs" dxfId="77" priority="5" operator="lessThan">
      <formula>-1</formula>
    </cfRule>
    <cfRule type="cellIs" dxfId="76" priority="6" operator="equal">
      <formula>"-"</formula>
    </cfRule>
  </conditionalFormatting>
  <conditionalFormatting sqref="J8:O26">
    <cfRule type="containsErrors" dxfId="75" priority="4">
      <formula>ISERROR(J8)</formula>
    </cfRule>
  </conditionalFormatting>
  <conditionalFormatting sqref="O8:O26">
    <cfRule type="cellIs" dxfId="74" priority="1" operator="lessThan">
      <formula>0</formula>
    </cfRule>
    <cfRule type="cellIs" dxfId="73" priority="2" operator="greaterThan">
      <formula>15</formula>
    </cfRule>
    <cfRule type="cellIs" dxfId="72" priority="3" operator="lessThan">
      <formula>16</formula>
    </cfRule>
  </conditionalFormatting>
  <pageMargins left="0.7" right="0.7" top="0.75" bottom="0.75" header="0.3" footer="0.3"/>
  <pageSetup paperSize="9" scale="38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C768ABB-B166-43C2-8F63-B8654EF80376}">
          <x14:formula1>
            <xm:f>Data!$B$2:$B$22</xm:f>
          </x14:formula1>
          <xm:sqref>F4</xm:sqref>
        </x14:dataValidation>
        <x14:dataValidation type="list" allowBlank="1" showInputMessage="1" showErrorMessage="1" xr:uid="{A37D5DA2-F750-43F5-9608-AFE2A2C95A35}">
          <x14:formula1>
            <xm:f>Data!$G$2:$G$6</xm:f>
          </x14:formula1>
          <xm:sqref>E8:E26</xm:sqref>
        </x14:dataValidation>
        <x14:dataValidation type="list" allowBlank="1" showInputMessage="1" showErrorMessage="1" xr:uid="{E8F64D39-AC00-4532-9996-847D83F993B5}">
          <x14:formula1>
            <xm:f>Data!$E$2:$E$37</xm:f>
          </x14:formula1>
          <xm:sqref>B8:B26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DCA05-E23F-4147-B9EE-F3780956A073}">
  <sheetPr>
    <tabColor rgb="FF92D050"/>
    <pageSetUpPr fitToPage="1"/>
  </sheetPr>
  <dimension ref="A1:O41"/>
  <sheetViews>
    <sheetView topLeftCell="A8" zoomScale="55" zoomScaleNormal="55" zoomScaleSheetLayoutView="50" workbookViewId="0">
      <selection activeCell="B26" sqref="B26"/>
    </sheetView>
  </sheetViews>
  <sheetFormatPr defaultRowHeight="14.25" x14ac:dyDescent="0.2"/>
  <cols>
    <col min="2" max="2" width="60.875" customWidth="1"/>
    <col min="3" max="3" width="9.375" customWidth="1"/>
    <col min="4" max="4" width="19.625" customWidth="1"/>
    <col min="5" max="5" width="10.375" customWidth="1"/>
    <col min="6" max="7" width="22.125" customWidth="1"/>
    <col min="8" max="8" width="20.875" customWidth="1"/>
    <col min="9" max="9" width="1.875" customWidth="1"/>
    <col min="10" max="10" width="13.875" customWidth="1"/>
    <col min="11" max="11" width="25.125" bestFit="1" customWidth="1"/>
    <col min="12" max="13" width="13.875" customWidth="1"/>
    <col min="14" max="14" width="8.75" customWidth="1"/>
    <col min="15" max="15" width="18.125" customWidth="1"/>
  </cols>
  <sheetData>
    <row r="1" spans="1:15" ht="39.6" customHeight="1" x14ac:dyDescent="0.2">
      <c r="A1" s="61" t="s">
        <v>19</v>
      </c>
      <c r="B1" s="61"/>
      <c r="C1" s="61"/>
      <c r="D1" s="61"/>
      <c r="E1" s="61"/>
      <c r="F1" s="61"/>
      <c r="G1" s="6" t="s">
        <v>17</v>
      </c>
      <c r="H1" s="5" t="s">
        <v>58</v>
      </c>
    </row>
    <row r="2" spans="1:15" ht="40.5" customHeight="1" thickBot="1" x14ac:dyDescent="0.25">
      <c r="A2" s="62"/>
      <c r="B2" s="62"/>
      <c r="C2" s="62"/>
      <c r="D2" s="62"/>
      <c r="E2" s="62"/>
      <c r="F2" s="62"/>
      <c r="G2" s="6" t="s">
        <v>27</v>
      </c>
      <c r="H2" s="15"/>
    </row>
    <row r="3" spans="1:15" ht="48.6" customHeight="1" x14ac:dyDescent="0.2">
      <c r="A3" s="63" t="s">
        <v>1</v>
      </c>
      <c r="B3" s="64"/>
      <c r="C3" s="64"/>
      <c r="D3" s="64"/>
      <c r="E3" s="64"/>
      <c r="F3" s="64"/>
      <c r="G3" s="64"/>
      <c r="H3" s="65"/>
    </row>
    <row r="4" spans="1:15" ht="54.95" customHeight="1" x14ac:dyDescent="0.2">
      <c r="A4" s="33" t="s">
        <v>0</v>
      </c>
      <c r="B4" s="34" t="s">
        <v>21</v>
      </c>
      <c r="C4" s="35"/>
      <c r="D4" s="66" t="s">
        <v>6</v>
      </c>
      <c r="E4" s="66"/>
      <c r="F4" s="57" t="s">
        <v>34</v>
      </c>
      <c r="G4" s="57"/>
      <c r="H4" s="57"/>
    </row>
    <row r="5" spans="1:15" ht="30.95" customHeight="1" x14ac:dyDescent="0.2">
      <c r="A5" s="55" t="s">
        <v>2</v>
      </c>
      <c r="B5" s="67"/>
      <c r="C5" s="37"/>
      <c r="D5" s="55" t="s">
        <v>18</v>
      </c>
      <c r="E5" s="55"/>
      <c r="F5" s="68"/>
      <c r="G5" s="68"/>
      <c r="H5" s="68"/>
      <c r="J5" s="55" t="s">
        <v>38</v>
      </c>
      <c r="K5" s="55"/>
      <c r="L5" s="55"/>
      <c r="M5" s="55"/>
    </row>
    <row r="6" spans="1:15" ht="30.6" customHeight="1" x14ac:dyDescent="0.2">
      <c r="A6" s="55"/>
      <c r="B6" s="67"/>
      <c r="C6" s="37"/>
      <c r="D6" s="56"/>
      <c r="E6" s="57"/>
      <c r="F6" s="68"/>
      <c r="G6" s="68"/>
      <c r="H6" s="68"/>
      <c r="J6" s="58" t="s">
        <v>39</v>
      </c>
      <c r="K6" s="58"/>
      <c r="L6" s="59" t="s">
        <v>41</v>
      </c>
      <c r="M6" s="59"/>
    </row>
    <row r="7" spans="1:15" s="7" customFormat="1" ht="36.6" customHeight="1" x14ac:dyDescent="0.25">
      <c r="A7" s="38" t="s">
        <v>3</v>
      </c>
      <c r="B7" s="38" t="s">
        <v>4</v>
      </c>
      <c r="C7" s="38" t="s">
        <v>42</v>
      </c>
      <c r="D7" s="38" t="s">
        <v>11</v>
      </c>
      <c r="E7" s="38" t="s">
        <v>12</v>
      </c>
      <c r="F7" s="38" t="s">
        <v>9</v>
      </c>
      <c r="G7" s="38" t="s">
        <v>10</v>
      </c>
      <c r="H7" s="39" t="s">
        <v>24</v>
      </c>
      <c r="J7" s="43" t="s">
        <v>40</v>
      </c>
      <c r="K7" s="44" t="s">
        <v>14</v>
      </c>
      <c r="L7" s="45" t="s">
        <v>40</v>
      </c>
      <c r="M7" s="46" t="s">
        <v>14</v>
      </c>
      <c r="N7" s="42" t="s">
        <v>25</v>
      </c>
      <c r="O7" s="42" t="s">
        <v>26</v>
      </c>
    </row>
    <row r="8" spans="1:15" ht="44.45" customHeight="1" x14ac:dyDescent="0.2">
      <c r="A8" s="36">
        <v>1</v>
      </c>
      <c r="B8" s="26" t="s">
        <v>77</v>
      </c>
      <c r="C8" s="27">
        <f>SUMIF(Data!E:E,B8,Data!F:F)</f>
        <v>42</v>
      </c>
      <c r="D8" s="28"/>
      <c r="E8" s="29" t="s">
        <v>14</v>
      </c>
      <c r="F8" s="30"/>
      <c r="G8" s="31"/>
      <c r="H8" s="32">
        <f>+G8-$D$6</f>
        <v>0</v>
      </c>
      <c r="J8" s="47">
        <f t="shared" ref="J8:J26" si="0">ROUNDDOWN((D8/C8),0)</f>
        <v>0</v>
      </c>
      <c r="K8" s="48">
        <f>SUMIF(Data!E:E,'มหาชัย(2)'!B8,Data!F:F)*J8</f>
        <v>0</v>
      </c>
      <c r="L8" s="49">
        <f t="shared" ref="L8:L26" si="1">ROUNDUP((M8/C8),0)</f>
        <v>0</v>
      </c>
      <c r="M8" s="50">
        <f t="shared" ref="M8:M26" si="2">D8-K8</f>
        <v>0</v>
      </c>
      <c r="N8" s="33">
        <f>INDEX(Data!C:C,MATCH(F4,Data!B:B,0))</f>
        <v>60</v>
      </c>
      <c r="O8" s="51">
        <f t="shared" ref="O8:O26" si="3">H8-N8</f>
        <v>-60</v>
      </c>
    </row>
    <row r="9" spans="1:15" ht="44.45" customHeight="1" x14ac:dyDescent="0.2">
      <c r="A9" s="36">
        <v>2</v>
      </c>
      <c r="B9" s="26" t="s">
        <v>66</v>
      </c>
      <c r="C9" s="27">
        <f>SUMIF(Data!E:E,B9,Data!F:F)</f>
        <v>36</v>
      </c>
      <c r="D9" s="28"/>
      <c r="E9" s="29" t="s">
        <v>14</v>
      </c>
      <c r="F9" s="30"/>
      <c r="G9" s="31"/>
      <c r="H9" s="32">
        <f t="shared" ref="H9:H26" si="4">+G9-$D$6</f>
        <v>0</v>
      </c>
      <c r="J9" s="47">
        <f t="shared" si="0"/>
        <v>0</v>
      </c>
      <c r="K9" s="48">
        <f>SUMIF(Data!E:E,'มหาชัย(2)'!B9,Data!F:F)*J9</f>
        <v>0</v>
      </c>
      <c r="L9" s="49">
        <f t="shared" si="1"/>
        <v>0</v>
      </c>
      <c r="M9" s="50">
        <f t="shared" si="2"/>
        <v>0</v>
      </c>
      <c r="N9" s="33" t="e">
        <f>INDEX(Data!C:C,MATCH(F5,Data!B:B,0))</f>
        <v>#N/A</v>
      </c>
      <c r="O9" s="51" t="e">
        <f t="shared" si="3"/>
        <v>#N/A</v>
      </c>
    </row>
    <row r="10" spans="1:15" ht="44.45" customHeight="1" x14ac:dyDescent="0.2">
      <c r="A10" s="36">
        <v>3</v>
      </c>
      <c r="B10" s="26" t="s">
        <v>79</v>
      </c>
      <c r="C10" s="27">
        <f>SUMIF(Data!E:E,B10,Data!F:F)</f>
        <v>42</v>
      </c>
      <c r="D10" s="28"/>
      <c r="E10" s="29" t="s">
        <v>14</v>
      </c>
      <c r="F10" s="30"/>
      <c r="G10" s="31"/>
      <c r="H10" s="32">
        <f t="shared" si="4"/>
        <v>0</v>
      </c>
      <c r="J10" s="47">
        <f t="shared" si="0"/>
        <v>0</v>
      </c>
      <c r="K10" s="48">
        <f>SUMIF(Data!E:E,'มหาชัย(2)'!B10,Data!F:F)*J10</f>
        <v>0</v>
      </c>
      <c r="L10" s="49">
        <f t="shared" si="1"/>
        <v>0</v>
      </c>
      <c r="M10" s="50">
        <f t="shared" si="2"/>
        <v>0</v>
      </c>
      <c r="N10" s="33" t="e">
        <f>INDEX(Data!C:C,MATCH(F6,Data!B:B,0))</f>
        <v>#N/A</v>
      </c>
      <c r="O10" s="51" t="e">
        <f t="shared" si="3"/>
        <v>#N/A</v>
      </c>
    </row>
    <row r="11" spans="1:15" ht="44.45" customHeight="1" x14ac:dyDescent="0.2">
      <c r="A11" s="36">
        <v>4</v>
      </c>
      <c r="B11" s="26" t="s">
        <v>80</v>
      </c>
      <c r="C11" s="27">
        <f>SUMIF(Data!E:E,B11,Data!F:F)</f>
        <v>50</v>
      </c>
      <c r="D11" s="28"/>
      <c r="E11" s="29" t="s">
        <v>14</v>
      </c>
      <c r="F11" s="30"/>
      <c r="G11" s="31"/>
      <c r="H11" s="32">
        <f t="shared" si="4"/>
        <v>0</v>
      </c>
      <c r="J11" s="47">
        <f t="shared" si="0"/>
        <v>0</v>
      </c>
      <c r="K11" s="48">
        <f>SUMIF(Data!E:E,'มหาชัย(2)'!B11,Data!F:F)*J11</f>
        <v>0</v>
      </c>
      <c r="L11" s="49">
        <f t="shared" si="1"/>
        <v>0</v>
      </c>
      <c r="M11" s="50">
        <f t="shared" si="2"/>
        <v>0</v>
      </c>
      <c r="N11" s="33" t="e">
        <f>INDEX(Data!C:C,MATCH(F7,Data!B:B,0))</f>
        <v>#N/A</v>
      </c>
      <c r="O11" s="51" t="e">
        <f t="shared" si="3"/>
        <v>#N/A</v>
      </c>
    </row>
    <row r="12" spans="1:15" ht="44.45" customHeight="1" x14ac:dyDescent="0.2">
      <c r="A12" s="36">
        <v>5</v>
      </c>
      <c r="B12" s="26" t="s">
        <v>71</v>
      </c>
      <c r="C12" s="27">
        <f>SUMIF(Data!E:E,B12,Data!F:F)</f>
        <v>81</v>
      </c>
      <c r="D12" s="28"/>
      <c r="E12" s="29" t="s">
        <v>14</v>
      </c>
      <c r="F12" s="30"/>
      <c r="G12" s="31"/>
      <c r="H12" s="32">
        <f t="shared" si="4"/>
        <v>0</v>
      </c>
      <c r="J12" s="47">
        <f t="shared" si="0"/>
        <v>0</v>
      </c>
      <c r="K12" s="48">
        <f>SUMIF(Data!E:E,'มหาชัย(2)'!B12,Data!F:F)*J12</f>
        <v>0</v>
      </c>
      <c r="L12" s="49">
        <f t="shared" si="1"/>
        <v>0</v>
      </c>
      <c r="M12" s="50">
        <f t="shared" si="2"/>
        <v>0</v>
      </c>
      <c r="N12" s="33" t="e">
        <f>INDEX(Data!C:C,MATCH(F8,Data!B:B,0))</f>
        <v>#N/A</v>
      </c>
      <c r="O12" s="51" t="e">
        <f t="shared" si="3"/>
        <v>#N/A</v>
      </c>
    </row>
    <row r="13" spans="1:15" ht="44.45" customHeight="1" x14ac:dyDescent="0.2">
      <c r="A13" s="36">
        <v>6</v>
      </c>
      <c r="B13" s="26" t="s">
        <v>84</v>
      </c>
      <c r="C13" s="27">
        <f>SUMIF(Data!E:E,B13,Data!F:F)</f>
        <v>42</v>
      </c>
      <c r="D13" s="28"/>
      <c r="E13" s="29" t="s">
        <v>14</v>
      </c>
      <c r="F13" s="30"/>
      <c r="G13" s="31"/>
      <c r="H13" s="32">
        <f t="shared" si="4"/>
        <v>0</v>
      </c>
      <c r="J13" s="47">
        <f t="shared" si="0"/>
        <v>0</v>
      </c>
      <c r="K13" s="48">
        <f>SUMIF(Data!E:E,'มหาชัย(2)'!B13,Data!F:F)*J13</f>
        <v>0</v>
      </c>
      <c r="L13" s="49">
        <f t="shared" si="1"/>
        <v>0</v>
      </c>
      <c r="M13" s="50">
        <f t="shared" si="2"/>
        <v>0</v>
      </c>
      <c r="N13" s="33" t="e">
        <f>INDEX(Data!C:C,MATCH(F9,Data!B:B,0))</f>
        <v>#N/A</v>
      </c>
      <c r="O13" s="51" t="e">
        <f t="shared" si="3"/>
        <v>#N/A</v>
      </c>
    </row>
    <row r="14" spans="1:15" ht="44.45" customHeight="1" x14ac:dyDescent="0.2">
      <c r="A14" s="36">
        <v>7</v>
      </c>
      <c r="B14" s="26" t="s">
        <v>85</v>
      </c>
      <c r="C14" s="27">
        <f>SUMIF(Data!E:E,B14,Data!F:F)</f>
        <v>32</v>
      </c>
      <c r="D14" s="28"/>
      <c r="E14" s="29" t="s">
        <v>14</v>
      </c>
      <c r="F14" s="30"/>
      <c r="G14" s="31"/>
      <c r="H14" s="32">
        <f t="shared" si="4"/>
        <v>0</v>
      </c>
      <c r="J14" s="47">
        <f t="shared" si="0"/>
        <v>0</v>
      </c>
      <c r="K14" s="48">
        <f>SUMIF(Data!E:E,'มหาชัย(2)'!B14,Data!F:F)*J14</f>
        <v>0</v>
      </c>
      <c r="L14" s="49">
        <f t="shared" si="1"/>
        <v>0</v>
      </c>
      <c r="M14" s="50">
        <f t="shared" si="2"/>
        <v>0</v>
      </c>
      <c r="N14" s="33" t="e">
        <f>INDEX(Data!C:C,MATCH(F10,Data!B:B,0))</f>
        <v>#N/A</v>
      </c>
      <c r="O14" s="51" t="e">
        <f t="shared" si="3"/>
        <v>#N/A</v>
      </c>
    </row>
    <row r="15" spans="1:15" ht="44.45" customHeight="1" x14ac:dyDescent="0.2">
      <c r="A15" s="36">
        <v>8</v>
      </c>
      <c r="B15" s="26" t="s">
        <v>76</v>
      </c>
      <c r="C15" s="27">
        <f>SUMIF(Data!E:E,B15,Data!F:F)</f>
        <v>70</v>
      </c>
      <c r="D15" s="28"/>
      <c r="E15" s="29" t="s">
        <v>14</v>
      </c>
      <c r="F15" s="30"/>
      <c r="G15" s="31"/>
      <c r="H15" s="32">
        <f t="shared" si="4"/>
        <v>0</v>
      </c>
      <c r="J15" s="47">
        <f t="shared" si="0"/>
        <v>0</v>
      </c>
      <c r="K15" s="48">
        <f>SUMIF(Data!E:E,'มหาชัย(2)'!B15,Data!F:F)*J15</f>
        <v>0</v>
      </c>
      <c r="L15" s="49">
        <f t="shared" si="1"/>
        <v>0</v>
      </c>
      <c r="M15" s="50">
        <f t="shared" si="2"/>
        <v>0</v>
      </c>
      <c r="N15" s="33" t="e">
        <f>INDEX(Data!C:C,MATCH(F11,Data!B:B,0))</f>
        <v>#N/A</v>
      </c>
      <c r="O15" s="51" t="e">
        <f t="shared" si="3"/>
        <v>#N/A</v>
      </c>
    </row>
    <row r="16" spans="1:15" ht="44.45" customHeight="1" x14ac:dyDescent="0.2">
      <c r="A16" s="36">
        <v>9</v>
      </c>
      <c r="B16" s="26" t="s">
        <v>89</v>
      </c>
      <c r="C16" s="27">
        <f>SUMIF(Data!E:E,B16,Data!F:F)</f>
        <v>45</v>
      </c>
      <c r="D16" s="28"/>
      <c r="E16" s="29" t="s">
        <v>14</v>
      </c>
      <c r="F16" s="30"/>
      <c r="G16" s="31"/>
      <c r="H16" s="32">
        <f t="shared" si="4"/>
        <v>0</v>
      </c>
      <c r="J16" s="47">
        <f t="shared" si="0"/>
        <v>0</v>
      </c>
      <c r="K16" s="48">
        <f>SUMIF(Data!E:E,'มหาชัย(2)'!B16,Data!F:F)*J16</f>
        <v>0</v>
      </c>
      <c r="L16" s="49">
        <f t="shared" si="1"/>
        <v>0</v>
      </c>
      <c r="M16" s="50">
        <f t="shared" si="2"/>
        <v>0</v>
      </c>
      <c r="N16" s="33" t="e">
        <f>INDEX(Data!C:C,MATCH(F12,Data!B:B,0))</f>
        <v>#N/A</v>
      </c>
      <c r="O16" s="51" t="e">
        <f t="shared" si="3"/>
        <v>#N/A</v>
      </c>
    </row>
    <row r="17" spans="1:15" ht="44.45" customHeight="1" x14ac:dyDescent="0.2">
      <c r="A17" s="36">
        <v>10</v>
      </c>
      <c r="B17" s="26" t="s">
        <v>88</v>
      </c>
      <c r="C17" s="27">
        <f>SUMIF(Data!E:E,B17,Data!F:F)</f>
        <v>48</v>
      </c>
      <c r="D17" s="28"/>
      <c r="E17" s="29" t="s">
        <v>14</v>
      </c>
      <c r="F17" s="30"/>
      <c r="G17" s="31"/>
      <c r="H17" s="32">
        <f t="shared" si="4"/>
        <v>0</v>
      </c>
      <c r="J17" s="47">
        <f t="shared" si="0"/>
        <v>0</v>
      </c>
      <c r="K17" s="48">
        <f>SUMIF(Data!E:E,'มหาชัย(2)'!B17,Data!F:F)*J17</f>
        <v>0</v>
      </c>
      <c r="L17" s="49">
        <f t="shared" si="1"/>
        <v>0</v>
      </c>
      <c r="M17" s="50">
        <f t="shared" si="2"/>
        <v>0</v>
      </c>
      <c r="N17" s="33" t="e">
        <f>INDEX(Data!C:C,MATCH(F13,Data!B:B,0))</f>
        <v>#N/A</v>
      </c>
      <c r="O17" s="51" t="e">
        <f t="shared" si="3"/>
        <v>#N/A</v>
      </c>
    </row>
    <row r="18" spans="1:15" ht="44.45" customHeight="1" x14ac:dyDescent="0.2">
      <c r="A18" s="36">
        <v>11</v>
      </c>
      <c r="B18" s="26" t="s">
        <v>87</v>
      </c>
      <c r="C18" s="27">
        <f>SUMIF(Data!E:E,B18,Data!F:F)</f>
        <v>48</v>
      </c>
      <c r="D18" s="28"/>
      <c r="E18" s="29" t="s">
        <v>14</v>
      </c>
      <c r="F18" s="30"/>
      <c r="G18" s="31"/>
      <c r="H18" s="32">
        <f t="shared" si="4"/>
        <v>0</v>
      </c>
      <c r="J18" s="47">
        <f t="shared" si="0"/>
        <v>0</v>
      </c>
      <c r="K18" s="48">
        <f>SUMIF(Data!E:E,'มหาชัย(2)'!B18,Data!F:F)*J18</f>
        <v>0</v>
      </c>
      <c r="L18" s="49">
        <f t="shared" si="1"/>
        <v>0</v>
      </c>
      <c r="M18" s="50">
        <f t="shared" si="2"/>
        <v>0</v>
      </c>
      <c r="N18" s="33" t="e">
        <f>INDEX(Data!C:C,MATCH(F14,Data!B:B,0))</f>
        <v>#N/A</v>
      </c>
      <c r="O18" s="51" t="e">
        <f t="shared" si="3"/>
        <v>#N/A</v>
      </c>
    </row>
    <row r="19" spans="1:15" ht="44.45" customHeight="1" x14ac:dyDescent="0.2">
      <c r="A19" s="36">
        <v>12</v>
      </c>
      <c r="B19" s="26" t="s">
        <v>90</v>
      </c>
      <c r="C19" s="27">
        <f>SUMIF(Data!E:E,B19,Data!F:F)</f>
        <v>60</v>
      </c>
      <c r="D19" s="28"/>
      <c r="E19" s="29" t="s">
        <v>14</v>
      </c>
      <c r="F19" s="30"/>
      <c r="G19" s="31"/>
      <c r="H19" s="32">
        <f t="shared" si="4"/>
        <v>0</v>
      </c>
      <c r="J19" s="47">
        <f t="shared" si="0"/>
        <v>0</v>
      </c>
      <c r="K19" s="48">
        <f>SUMIF(Data!E:E,'มหาชัย(2)'!B19,Data!F:F)*J19</f>
        <v>0</v>
      </c>
      <c r="L19" s="49">
        <f t="shared" si="1"/>
        <v>0</v>
      </c>
      <c r="M19" s="50">
        <f t="shared" si="2"/>
        <v>0</v>
      </c>
      <c r="N19" s="33" t="e">
        <f>INDEX(Data!C:C,MATCH(F15,Data!B:B,0))</f>
        <v>#N/A</v>
      </c>
      <c r="O19" s="51" t="e">
        <f t="shared" si="3"/>
        <v>#N/A</v>
      </c>
    </row>
    <row r="20" spans="1:15" ht="44.45" customHeight="1" x14ac:dyDescent="0.2">
      <c r="A20" s="36">
        <v>13</v>
      </c>
      <c r="B20" s="26" t="s">
        <v>91</v>
      </c>
      <c r="C20" s="27">
        <f>SUMIF(Data!E:E,B20,Data!F:F)</f>
        <v>50</v>
      </c>
      <c r="D20" s="28"/>
      <c r="E20" s="29" t="s">
        <v>14</v>
      </c>
      <c r="F20" s="30"/>
      <c r="G20" s="31"/>
      <c r="H20" s="32">
        <f t="shared" si="4"/>
        <v>0</v>
      </c>
      <c r="J20" s="47">
        <f t="shared" si="0"/>
        <v>0</v>
      </c>
      <c r="K20" s="48">
        <f>SUMIF(Data!E:E,'มหาชัย(2)'!B20,Data!F:F)*J20</f>
        <v>0</v>
      </c>
      <c r="L20" s="49">
        <f t="shared" si="1"/>
        <v>0</v>
      </c>
      <c r="M20" s="50">
        <f t="shared" si="2"/>
        <v>0</v>
      </c>
      <c r="N20" s="33" t="e">
        <f>INDEX(Data!C:C,MATCH(F16,Data!B:B,0))</f>
        <v>#N/A</v>
      </c>
      <c r="O20" s="51" t="e">
        <f t="shared" si="3"/>
        <v>#N/A</v>
      </c>
    </row>
    <row r="21" spans="1:15" ht="44.45" customHeight="1" x14ac:dyDescent="0.2">
      <c r="A21" s="36">
        <v>14</v>
      </c>
      <c r="B21" s="26" t="s">
        <v>93</v>
      </c>
      <c r="C21" s="27">
        <f>SUMIF(Data!E:E,B21,Data!F:F)</f>
        <v>60</v>
      </c>
      <c r="D21" s="28"/>
      <c r="E21" s="29" t="s">
        <v>14</v>
      </c>
      <c r="F21" s="30"/>
      <c r="G21" s="31"/>
      <c r="H21" s="32">
        <f t="shared" si="4"/>
        <v>0</v>
      </c>
      <c r="J21" s="47">
        <f t="shared" si="0"/>
        <v>0</v>
      </c>
      <c r="K21" s="48">
        <f>SUMIF(Data!E:E,'มหาชัย(2)'!B21,Data!F:F)*J21</f>
        <v>0</v>
      </c>
      <c r="L21" s="49">
        <f t="shared" si="1"/>
        <v>0</v>
      </c>
      <c r="M21" s="50">
        <f t="shared" si="2"/>
        <v>0</v>
      </c>
      <c r="N21" s="33" t="e">
        <f>INDEX(Data!C:C,MATCH(F17,Data!B:B,0))</f>
        <v>#N/A</v>
      </c>
      <c r="O21" s="51" t="e">
        <f t="shared" si="3"/>
        <v>#N/A</v>
      </c>
    </row>
    <row r="22" spans="1:15" ht="44.45" customHeight="1" x14ac:dyDescent="0.2">
      <c r="A22" s="36">
        <v>15</v>
      </c>
      <c r="B22" s="26" t="s">
        <v>94</v>
      </c>
      <c r="C22" s="27">
        <f>SUMIF(Data!E:E,B22,Data!F:F)</f>
        <v>55</v>
      </c>
      <c r="D22" s="28"/>
      <c r="E22" s="29" t="s">
        <v>14</v>
      </c>
      <c r="F22" s="30"/>
      <c r="G22" s="31"/>
      <c r="H22" s="32">
        <f t="shared" si="4"/>
        <v>0</v>
      </c>
      <c r="J22" s="47">
        <f t="shared" si="0"/>
        <v>0</v>
      </c>
      <c r="K22" s="48">
        <f>SUMIF(Data!E:E,'มหาชัย(2)'!B22,Data!F:F)*J22</f>
        <v>0</v>
      </c>
      <c r="L22" s="49">
        <f t="shared" si="1"/>
        <v>0</v>
      </c>
      <c r="M22" s="50">
        <f t="shared" si="2"/>
        <v>0</v>
      </c>
      <c r="N22" s="33" t="e">
        <f>INDEX(Data!C:C,MATCH(F18,Data!B:B,0))</f>
        <v>#N/A</v>
      </c>
      <c r="O22" s="51" t="e">
        <f t="shared" si="3"/>
        <v>#N/A</v>
      </c>
    </row>
    <row r="23" spans="1:15" ht="44.45" customHeight="1" x14ac:dyDescent="0.2">
      <c r="A23" s="36">
        <v>16</v>
      </c>
      <c r="B23" s="26" t="s">
        <v>95</v>
      </c>
      <c r="C23" s="27">
        <f>SUMIF(Data!E:E,B23,Data!F:F)</f>
        <v>50</v>
      </c>
      <c r="D23" s="28"/>
      <c r="E23" s="29" t="s">
        <v>14</v>
      </c>
      <c r="F23" s="30"/>
      <c r="G23" s="31"/>
      <c r="H23" s="32">
        <f t="shared" si="4"/>
        <v>0</v>
      </c>
      <c r="J23" s="47">
        <f t="shared" si="0"/>
        <v>0</v>
      </c>
      <c r="K23" s="48">
        <f>SUMIF(Data!E:E,'มหาชัย(2)'!B23,Data!F:F)*J23</f>
        <v>0</v>
      </c>
      <c r="L23" s="49">
        <f t="shared" si="1"/>
        <v>0</v>
      </c>
      <c r="M23" s="50">
        <f t="shared" si="2"/>
        <v>0</v>
      </c>
      <c r="N23" s="33" t="e">
        <f>INDEX(Data!C:C,MATCH(F19,Data!B:B,0))</f>
        <v>#N/A</v>
      </c>
      <c r="O23" s="51" t="e">
        <f t="shared" si="3"/>
        <v>#N/A</v>
      </c>
    </row>
    <row r="24" spans="1:15" ht="44.45" customHeight="1" x14ac:dyDescent="0.2">
      <c r="A24" s="36">
        <v>17</v>
      </c>
      <c r="B24" s="26" t="s">
        <v>98</v>
      </c>
      <c r="C24" s="27">
        <f>SUMIF(Data!E:E,B24,Data!F:F)</f>
        <v>55</v>
      </c>
      <c r="D24" s="28"/>
      <c r="E24" s="29" t="s">
        <v>14</v>
      </c>
      <c r="F24" s="30"/>
      <c r="G24" s="31"/>
      <c r="H24" s="32">
        <f t="shared" si="4"/>
        <v>0</v>
      </c>
      <c r="J24" s="47">
        <f t="shared" si="0"/>
        <v>0</v>
      </c>
      <c r="K24" s="48">
        <f>SUMIF(Data!E:E,'มหาชัย(2)'!B24,Data!F:F)*J24</f>
        <v>0</v>
      </c>
      <c r="L24" s="49">
        <f t="shared" si="1"/>
        <v>0</v>
      </c>
      <c r="M24" s="50">
        <f t="shared" si="2"/>
        <v>0</v>
      </c>
      <c r="N24" s="33" t="e">
        <f>INDEX(Data!C:C,MATCH(F20,Data!B:B,0))</f>
        <v>#N/A</v>
      </c>
      <c r="O24" s="51" t="e">
        <f t="shared" si="3"/>
        <v>#N/A</v>
      </c>
    </row>
    <row r="25" spans="1:15" ht="44.45" customHeight="1" x14ac:dyDescent="0.2">
      <c r="A25" s="36">
        <v>18</v>
      </c>
      <c r="B25" s="26" t="s">
        <v>99</v>
      </c>
      <c r="C25" s="27">
        <f>SUMIF(Data!E:E,B25,Data!F:F)</f>
        <v>55</v>
      </c>
      <c r="D25" s="28"/>
      <c r="E25" s="29" t="s">
        <v>14</v>
      </c>
      <c r="F25" s="30"/>
      <c r="G25" s="31"/>
      <c r="H25" s="32">
        <f t="shared" si="4"/>
        <v>0</v>
      </c>
      <c r="J25" s="47">
        <f t="shared" si="0"/>
        <v>0</v>
      </c>
      <c r="K25" s="48">
        <f>SUMIF(Data!E:E,'มหาชัย(2)'!B25,Data!F:F)*J25</f>
        <v>0</v>
      </c>
      <c r="L25" s="49">
        <f t="shared" si="1"/>
        <v>0</v>
      </c>
      <c r="M25" s="50">
        <f t="shared" si="2"/>
        <v>0</v>
      </c>
      <c r="N25" s="33" t="e">
        <f>INDEX(Data!C:C,MATCH(F21,Data!B:B,0))</f>
        <v>#N/A</v>
      </c>
      <c r="O25" s="51" t="e">
        <f t="shared" si="3"/>
        <v>#N/A</v>
      </c>
    </row>
    <row r="26" spans="1:15" ht="44.45" customHeight="1" x14ac:dyDescent="0.2">
      <c r="A26" s="36">
        <v>19</v>
      </c>
      <c r="B26" s="26" t="s">
        <v>100</v>
      </c>
      <c r="C26" s="27">
        <f>SUMIF(Data!E:E,B26,Data!F:F)</f>
        <v>81</v>
      </c>
      <c r="D26" s="28"/>
      <c r="E26" s="29" t="s">
        <v>14</v>
      </c>
      <c r="F26" s="30"/>
      <c r="G26" s="31"/>
      <c r="H26" s="32">
        <f t="shared" si="4"/>
        <v>0</v>
      </c>
      <c r="J26" s="47">
        <f t="shared" si="0"/>
        <v>0</v>
      </c>
      <c r="K26" s="48">
        <f>SUMIF(Data!E:E,'มหาชัย(2)'!B26,Data!F:F)*J26</f>
        <v>0</v>
      </c>
      <c r="L26" s="49">
        <f t="shared" si="1"/>
        <v>0</v>
      </c>
      <c r="M26" s="50">
        <f t="shared" si="2"/>
        <v>0</v>
      </c>
      <c r="N26" s="33" t="e">
        <f>INDEX(Data!C:C,MATCH(F22,Data!B:B,0))</f>
        <v>#N/A</v>
      </c>
      <c r="O26" s="51" t="e">
        <f t="shared" si="3"/>
        <v>#N/A</v>
      </c>
    </row>
    <row r="27" spans="1:15" ht="54.6" customHeight="1" x14ac:dyDescent="0.2">
      <c r="A27" s="60" t="s">
        <v>5</v>
      </c>
      <c r="B27" s="60"/>
      <c r="C27" s="40"/>
      <c r="D27" s="41"/>
      <c r="E27" s="42"/>
      <c r="F27" s="42"/>
      <c r="G27" s="42"/>
      <c r="H27" s="1"/>
      <c r="J27" s="14" t="s">
        <v>39</v>
      </c>
      <c r="K27" s="14" t="s">
        <v>41</v>
      </c>
      <c r="L27" s="14" t="s">
        <v>57</v>
      </c>
    </row>
    <row r="28" spans="1:15" ht="20.100000000000001" customHeight="1" x14ac:dyDescent="0.2">
      <c r="J28" s="13">
        <f>SUM($J$8:$J$26)</f>
        <v>0</v>
      </c>
      <c r="K28" s="13">
        <f>SUM($L$8:$L$26)</f>
        <v>0</v>
      </c>
      <c r="L28" s="13">
        <f>SUM(J28:K28)</f>
        <v>0</v>
      </c>
    </row>
    <row r="29" spans="1:15" ht="20.100000000000001" customHeight="1" x14ac:dyDescent="0.2">
      <c r="L29" s="13"/>
    </row>
    <row r="30" spans="1:15" ht="61.5" customHeight="1" x14ac:dyDescent="0.25">
      <c r="A30" s="8"/>
      <c r="B30" s="9" t="s">
        <v>29</v>
      </c>
      <c r="C30" s="9"/>
      <c r="G30" s="8" t="s">
        <v>31</v>
      </c>
      <c r="K30" s="20" t="s">
        <v>72</v>
      </c>
      <c r="L30" s="21">
        <f>SUM('โชคชัย(2):โชคชัย(1)'!L28)</f>
        <v>0</v>
      </c>
      <c r="N30" s="8"/>
      <c r="O30" s="8"/>
    </row>
    <row r="31" spans="1:15" ht="61.5" customHeight="1" x14ac:dyDescent="0.25">
      <c r="A31" s="8"/>
      <c r="B31" s="8" t="s">
        <v>28</v>
      </c>
      <c r="C31" s="8"/>
      <c r="F31" s="8"/>
      <c r="G31" s="8" t="s">
        <v>32</v>
      </c>
      <c r="H31" s="8"/>
      <c r="K31" s="20" t="s">
        <v>73</v>
      </c>
      <c r="L31" s="21">
        <f>+L30/200</f>
        <v>0</v>
      </c>
      <c r="N31" s="8"/>
      <c r="O31" s="8"/>
    </row>
    <row r="32" spans="1:15" ht="61.5" customHeight="1" x14ac:dyDescent="0.25">
      <c r="A32" s="8"/>
      <c r="B32" s="8" t="s">
        <v>30</v>
      </c>
      <c r="C32" s="8"/>
      <c r="F32" s="8"/>
      <c r="G32" s="8" t="s">
        <v>33</v>
      </c>
      <c r="H32" s="9"/>
      <c r="J32" s="11"/>
      <c r="L32" s="9"/>
      <c r="N32" s="9"/>
      <c r="O32" s="9"/>
    </row>
    <row r="33" ht="20.100000000000001" customHeight="1" x14ac:dyDescent="0.2"/>
    <row r="34" ht="20.100000000000001" customHeight="1" x14ac:dyDescent="0.2"/>
    <row r="35" ht="20.100000000000001" customHeight="1" x14ac:dyDescent="0.2"/>
    <row r="36" ht="20.100000000000001" customHeight="1" x14ac:dyDescent="0.2"/>
    <row r="37" ht="20.100000000000001" customHeight="1" x14ac:dyDescent="0.2"/>
    <row r="38" ht="20.100000000000001" customHeight="1" x14ac:dyDescent="0.2"/>
    <row r="39" ht="20.100000000000001" customHeight="1" x14ac:dyDescent="0.2"/>
    <row r="40" ht="20.100000000000001" customHeight="1" x14ac:dyDescent="0.2"/>
    <row r="41" ht="20.100000000000001" customHeight="1" x14ac:dyDescent="0.2"/>
  </sheetData>
  <mergeCells count="13">
    <mergeCell ref="A1:F2"/>
    <mergeCell ref="A3:H3"/>
    <mergeCell ref="D4:E4"/>
    <mergeCell ref="F4:H4"/>
    <mergeCell ref="A5:A6"/>
    <mergeCell ref="B5:B6"/>
    <mergeCell ref="D5:E5"/>
    <mergeCell ref="F5:H6"/>
    <mergeCell ref="J5:M5"/>
    <mergeCell ref="D6:E6"/>
    <mergeCell ref="J6:K6"/>
    <mergeCell ref="L6:M6"/>
    <mergeCell ref="A27:B27"/>
  </mergeCells>
  <conditionalFormatting sqref="H8:H26">
    <cfRule type="cellIs" dxfId="71" priority="5" operator="lessThan">
      <formula>-1</formula>
    </cfRule>
    <cfRule type="cellIs" dxfId="70" priority="6" operator="equal">
      <formula>"-"</formula>
    </cfRule>
  </conditionalFormatting>
  <conditionalFormatting sqref="J8:O26">
    <cfRule type="containsErrors" dxfId="69" priority="4">
      <formula>ISERROR(J8)</formula>
    </cfRule>
  </conditionalFormatting>
  <conditionalFormatting sqref="O8:O26">
    <cfRule type="cellIs" dxfId="68" priority="1" operator="lessThan">
      <formula>0</formula>
    </cfRule>
    <cfRule type="cellIs" dxfId="67" priority="2" operator="greaterThan">
      <formula>15</formula>
    </cfRule>
    <cfRule type="cellIs" dxfId="66" priority="3" operator="lessThan">
      <formula>16</formula>
    </cfRule>
  </conditionalFormatting>
  <pageMargins left="0.7" right="0.7" top="0.75" bottom="0.75" header="0.3" footer="0.3"/>
  <pageSetup paperSize="9" scale="38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BAAE40A-8961-46F7-982D-568EF321044F}">
          <x14:formula1>
            <xm:f>Data!$B$2:$B$22</xm:f>
          </x14:formula1>
          <xm:sqref>F4</xm:sqref>
        </x14:dataValidation>
        <x14:dataValidation type="list" allowBlank="1" showInputMessage="1" showErrorMessage="1" xr:uid="{813B8A27-F431-4907-B45A-AE900F565ECA}">
          <x14:formula1>
            <xm:f>Data!$G$2:$G$6</xm:f>
          </x14:formula1>
          <xm:sqref>E8:E26</xm:sqref>
        </x14:dataValidation>
        <x14:dataValidation type="list" allowBlank="1" showInputMessage="1" showErrorMessage="1" xr:uid="{6CD4287E-ED12-4B55-AAA4-321BDA86F133}">
          <x14:formula1>
            <xm:f>Data!$E$2:$E$37</xm:f>
          </x14:formula1>
          <xm:sqref>B8:B26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63F2A-D659-488C-A2CF-4028A471E25B}">
  <sheetPr>
    <tabColor rgb="FF92D050"/>
    <pageSetUpPr fitToPage="1"/>
  </sheetPr>
  <dimension ref="A1:O41"/>
  <sheetViews>
    <sheetView topLeftCell="A5" zoomScale="55" zoomScaleNormal="55" zoomScaleSheetLayoutView="50" workbookViewId="0">
      <selection activeCell="B26" sqref="B26"/>
    </sheetView>
  </sheetViews>
  <sheetFormatPr defaultRowHeight="14.25" x14ac:dyDescent="0.2"/>
  <cols>
    <col min="2" max="2" width="60.875" customWidth="1"/>
    <col min="3" max="3" width="9.375" customWidth="1"/>
    <col min="4" max="4" width="19.625" customWidth="1"/>
    <col min="5" max="5" width="10.375" customWidth="1"/>
    <col min="6" max="7" width="22.125" customWidth="1"/>
    <col min="8" max="8" width="20.875" customWidth="1"/>
    <col min="9" max="9" width="1.875" customWidth="1"/>
    <col min="10" max="10" width="13.875" customWidth="1"/>
    <col min="11" max="11" width="25.125" bestFit="1" customWidth="1"/>
    <col min="12" max="13" width="13.875" customWidth="1"/>
    <col min="14" max="14" width="8.75" customWidth="1"/>
    <col min="15" max="15" width="18.125" customWidth="1"/>
  </cols>
  <sheetData>
    <row r="1" spans="1:15" ht="39.6" customHeight="1" x14ac:dyDescent="0.2">
      <c r="A1" s="61" t="s">
        <v>19</v>
      </c>
      <c r="B1" s="61"/>
      <c r="C1" s="61"/>
      <c r="D1" s="61"/>
      <c r="E1" s="61"/>
      <c r="F1" s="61"/>
      <c r="G1" s="6" t="s">
        <v>17</v>
      </c>
      <c r="H1" s="5" t="s">
        <v>58</v>
      </c>
    </row>
    <row r="2" spans="1:15" ht="40.5" customHeight="1" thickBot="1" x14ac:dyDescent="0.25">
      <c r="A2" s="62"/>
      <c r="B2" s="62"/>
      <c r="C2" s="62"/>
      <c r="D2" s="62"/>
      <c r="E2" s="62"/>
      <c r="F2" s="62"/>
      <c r="G2" s="6" t="s">
        <v>27</v>
      </c>
      <c r="H2" s="15"/>
    </row>
    <row r="3" spans="1:15" ht="48.6" customHeight="1" x14ac:dyDescent="0.2">
      <c r="A3" s="63" t="s">
        <v>1</v>
      </c>
      <c r="B3" s="64"/>
      <c r="C3" s="64"/>
      <c r="D3" s="64"/>
      <c r="E3" s="64"/>
      <c r="F3" s="64"/>
      <c r="G3" s="64"/>
      <c r="H3" s="65"/>
    </row>
    <row r="4" spans="1:15" ht="54.95" customHeight="1" x14ac:dyDescent="0.2">
      <c r="A4" s="33" t="s">
        <v>0</v>
      </c>
      <c r="B4" s="34" t="s">
        <v>21</v>
      </c>
      <c r="C4" s="35"/>
      <c r="D4" s="66" t="s">
        <v>6</v>
      </c>
      <c r="E4" s="66"/>
      <c r="F4" s="57" t="s">
        <v>34</v>
      </c>
      <c r="G4" s="57"/>
      <c r="H4" s="57"/>
    </row>
    <row r="5" spans="1:15" ht="30.95" customHeight="1" x14ac:dyDescent="0.2">
      <c r="A5" s="55" t="s">
        <v>2</v>
      </c>
      <c r="B5" s="67"/>
      <c r="C5" s="37"/>
      <c r="D5" s="55" t="s">
        <v>18</v>
      </c>
      <c r="E5" s="55"/>
      <c r="F5" s="68"/>
      <c r="G5" s="68"/>
      <c r="H5" s="68"/>
      <c r="J5" s="55" t="s">
        <v>38</v>
      </c>
      <c r="K5" s="55"/>
      <c r="L5" s="55"/>
      <c r="M5" s="55"/>
    </row>
    <row r="6" spans="1:15" ht="30.6" customHeight="1" x14ac:dyDescent="0.2">
      <c r="A6" s="55"/>
      <c r="B6" s="67"/>
      <c r="C6" s="37"/>
      <c r="D6" s="56"/>
      <c r="E6" s="57"/>
      <c r="F6" s="68"/>
      <c r="G6" s="68"/>
      <c r="H6" s="68"/>
      <c r="J6" s="58" t="s">
        <v>39</v>
      </c>
      <c r="K6" s="58"/>
      <c r="L6" s="59" t="s">
        <v>41</v>
      </c>
      <c r="M6" s="59"/>
    </row>
    <row r="7" spans="1:15" s="7" customFormat="1" ht="36.6" customHeight="1" x14ac:dyDescent="0.25">
      <c r="A7" s="38" t="s">
        <v>3</v>
      </c>
      <c r="B7" s="38" t="s">
        <v>4</v>
      </c>
      <c r="C7" s="38" t="s">
        <v>42</v>
      </c>
      <c r="D7" s="38" t="s">
        <v>11</v>
      </c>
      <c r="E7" s="38" t="s">
        <v>12</v>
      </c>
      <c r="F7" s="38" t="s">
        <v>9</v>
      </c>
      <c r="G7" s="38" t="s">
        <v>10</v>
      </c>
      <c r="H7" s="39" t="s">
        <v>24</v>
      </c>
      <c r="J7" s="43" t="s">
        <v>40</v>
      </c>
      <c r="K7" s="44" t="s">
        <v>14</v>
      </c>
      <c r="L7" s="45" t="s">
        <v>40</v>
      </c>
      <c r="M7" s="46" t="s">
        <v>14</v>
      </c>
      <c r="N7" s="42" t="s">
        <v>25</v>
      </c>
      <c r="O7" s="42" t="s">
        <v>26</v>
      </c>
    </row>
    <row r="8" spans="1:15" ht="44.45" customHeight="1" x14ac:dyDescent="0.2">
      <c r="A8" s="36">
        <v>1</v>
      </c>
      <c r="B8" s="26" t="s">
        <v>77</v>
      </c>
      <c r="C8" s="27">
        <f>SUMIF(Data!E:E,B8,Data!F:F)</f>
        <v>42</v>
      </c>
      <c r="D8" s="28"/>
      <c r="E8" s="29" t="s">
        <v>14</v>
      </c>
      <c r="F8" s="30"/>
      <c r="G8" s="31"/>
      <c r="H8" s="32">
        <f>+G8-$D$6</f>
        <v>0</v>
      </c>
      <c r="J8" s="47">
        <f t="shared" ref="J8:J26" si="0">ROUNDDOWN((D8/C8),0)</f>
        <v>0</v>
      </c>
      <c r="K8" s="48">
        <f>SUMIF(Data!E:E,'มหาชัย(2)'!B8,Data!F:F)*J8</f>
        <v>0</v>
      </c>
      <c r="L8" s="49">
        <f t="shared" ref="L8:L26" si="1">ROUNDUP((M8/C8),0)</f>
        <v>0</v>
      </c>
      <c r="M8" s="50">
        <f t="shared" ref="M8:M26" si="2">D8-K8</f>
        <v>0</v>
      </c>
      <c r="N8" s="33">
        <f>INDEX(Data!C:C,MATCH(F4,Data!B:B,0))</f>
        <v>60</v>
      </c>
      <c r="O8" s="51">
        <f t="shared" ref="O8:O26" si="3">H8-N8</f>
        <v>-60</v>
      </c>
    </row>
    <row r="9" spans="1:15" ht="44.45" customHeight="1" x14ac:dyDescent="0.2">
      <c r="A9" s="36">
        <v>2</v>
      </c>
      <c r="B9" s="26" t="s">
        <v>66</v>
      </c>
      <c r="C9" s="27">
        <f>SUMIF(Data!E:E,B9,Data!F:F)</f>
        <v>36</v>
      </c>
      <c r="D9" s="28"/>
      <c r="E9" s="29" t="s">
        <v>14</v>
      </c>
      <c r="F9" s="30"/>
      <c r="G9" s="31"/>
      <c r="H9" s="32">
        <f t="shared" ref="H9:H26" si="4">+G9-$D$6</f>
        <v>0</v>
      </c>
      <c r="J9" s="47">
        <f t="shared" si="0"/>
        <v>0</v>
      </c>
      <c r="K9" s="48">
        <f>SUMIF(Data!E:E,'มหาชัย(2)'!B9,Data!F:F)*J9</f>
        <v>0</v>
      </c>
      <c r="L9" s="49">
        <f t="shared" si="1"/>
        <v>0</v>
      </c>
      <c r="M9" s="50">
        <f t="shared" si="2"/>
        <v>0</v>
      </c>
      <c r="N9" s="33" t="e">
        <f>INDEX(Data!C:C,MATCH(F5,Data!B:B,0))</f>
        <v>#N/A</v>
      </c>
      <c r="O9" s="51" t="e">
        <f t="shared" si="3"/>
        <v>#N/A</v>
      </c>
    </row>
    <row r="10" spans="1:15" ht="44.45" customHeight="1" x14ac:dyDescent="0.2">
      <c r="A10" s="36">
        <v>3</v>
      </c>
      <c r="B10" s="26" t="s">
        <v>79</v>
      </c>
      <c r="C10" s="27">
        <f>SUMIF(Data!E:E,B10,Data!F:F)</f>
        <v>42</v>
      </c>
      <c r="D10" s="28"/>
      <c r="E10" s="29" t="s">
        <v>14</v>
      </c>
      <c r="F10" s="30"/>
      <c r="G10" s="31"/>
      <c r="H10" s="32">
        <f t="shared" si="4"/>
        <v>0</v>
      </c>
      <c r="J10" s="47">
        <f t="shared" si="0"/>
        <v>0</v>
      </c>
      <c r="K10" s="48">
        <f>SUMIF(Data!E:E,'มหาชัย(2)'!B10,Data!F:F)*J10</f>
        <v>0</v>
      </c>
      <c r="L10" s="49">
        <f t="shared" si="1"/>
        <v>0</v>
      </c>
      <c r="M10" s="50">
        <f t="shared" si="2"/>
        <v>0</v>
      </c>
      <c r="N10" s="33" t="e">
        <f>INDEX(Data!C:C,MATCH(F6,Data!B:B,0))</f>
        <v>#N/A</v>
      </c>
      <c r="O10" s="51" t="e">
        <f t="shared" si="3"/>
        <v>#N/A</v>
      </c>
    </row>
    <row r="11" spans="1:15" ht="44.45" customHeight="1" x14ac:dyDescent="0.2">
      <c r="A11" s="36">
        <v>4</v>
      </c>
      <c r="B11" s="26" t="s">
        <v>80</v>
      </c>
      <c r="C11" s="27">
        <f>SUMIF(Data!E:E,B11,Data!F:F)</f>
        <v>50</v>
      </c>
      <c r="D11" s="28"/>
      <c r="E11" s="29" t="s">
        <v>14</v>
      </c>
      <c r="F11" s="30"/>
      <c r="G11" s="31"/>
      <c r="H11" s="32">
        <f t="shared" si="4"/>
        <v>0</v>
      </c>
      <c r="J11" s="47">
        <f t="shared" si="0"/>
        <v>0</v>
      </c>
      <c r="K11" s="48">
        <f>SUMIF(Data!E:E,'มหาชัย(2)'!B11,Data!F:F)*J11</f>
        <v>0</v>
      </c>
      <c r="L11" s="49">
        <f t="shared" si="1"/>
        <v>0</v>
      </c>
      <c r="M11" s="50">
        <f t="shared" si="2"/>
        <v>0</v>
      </c>
      <c r="N11" s="33" t="e">
        <f>INDEX(Data!C:C,MATCH(F7,Data!B:B,0))</f>
        <v>#N/A</v>
      </c>
      <c r="O11" s="51" t="e">
        <f t="shared" si="3"/>
        <v>#N/A</v>
      </c>
    </row>
    <row r="12" spans="1:15" ht="44.45" customHeight="1" x14ac:dyDescent="0.2">
      <c r="A12" s="36">
        <v>5</v>
      </c>
      <c r="B12" s="26" t="s">
        <v>71</v>
      </c>
      <c r="C12" s="27">
        <f>SUMIF(Data!E:E,B12,Data!F:F)</f>
        <v>81</v>
      </c>
      <c r="D12" s="28"/>
      <c r="E12" s="29" t="s">
        <v>14</v>
      </c>
      <c r="F12" s="30"/>
      <c r="G12" s="31"/>
      <c r="H12" s="32">
        <f t="shared" si="4"/>
        <v>0</v>
      </c>
      <c r="J12" s="47">
        <f t="shared" si="0"/>
        <v>0</v>
      </c>
      <c r="K12" s="48">
        <f>SUMIF(Data!E:E,'มหาชัย(2)'!B12,Data!F:F)*J12</f>
        <v>0</v>
      </c>
      <c r="L12" s="49">
        <f t="shared" si="1"/>
        <v>0</v>
      </c>
      <c r="M12" s="50">
        <f t="shared" si="2"/>
        <v>0</v>
      </c>
      <c r="N12" s="33" t="e">
        <f>INDEX(Data!C:C,MATCH(F8,Data!B:B,0))</f>
        <v>#N/A</v>
      </c>
      <c r="O12" s="51" t="e">
        <f t="shared" si="3"/>
        <v>#N/A</v>
      </c>
    </row>
    <row r="13" spans="1:15" ht="44.45" customHeight="1" x14ac:dyDescent="0.2">
      <c r="A13" s="36">
        <v>6</v>
      </c>
      <c r="B13" s="26" t="s">
        <v>84</v>
      </c>
      <c r="C13" s="27">
        <f>SUMIF(Data!E:E,B13,Data!F:F)</f>
        <v>42</v>
      </c>
      <c r="D13" s="28"/>
      <c r="E13" s="29" t="s">
        <v>14</v>
      </c>
      <c r="F13" s="30"/>
      <c r="G13" s="31"/>
      <c r="H13" s="32">
        <f t="shared" si="4"/>
        <v>0</v>
      </c>
      <c r="J13" s="47">
        <f t="shared" si="0"/>
        <v>0</v>
      </c>
      <c r="K13" s="48">
        <f>SUMIF(Data!E:E,'มหาชัย(2)'!B13,Data!F:F)*J13</f>
        <v>0</v>
      </c>
      <c r="L13" s="49">
        <f t="shared" si="1"/>
        <v>0</v>
      </c>
      <c r="M13" s="50">
        <f t="shared" si="2"/>
        <v>0</v>
      </c>
      <c r="N13" s="33" t="e">
        <f>INDEX(Data!C:C,MATCH(F9,Data!B:B,0))</f>
        <v>#N/A</v>
      </c>
      <c r="O13" s="51" t="e">
        <f t="shared" si="3"/>
        <v>#N/A</v>
      </c>
    </row>
    <row r="14" spans="1:15" ht="44.45" customHeight="1" x14ac:dyDescent="0.2">
      <c r="A14" s="36">
        <v>7</v>
      </c>
      <c r="B14" s="26" t="s">
        <v>85</v>
      </c>
      <c r="C14" s="27">
        <f>SUMIF(Data!E:E,B14,Data!F:F)</f>
        <v>32</v>
      </c>
      <c r="D14" s="28"/>
      <c r="E14" s="29" t="s">
        <v>14</v>
      </c>
      <c r="F14" s="30"/>
      <c r="G14" s="31"/>
      <c r="H14" s="32">
        <f t="shared" si="4"/>
        <v>0</v>
      </c>
      <c r="J14" s="47">
        <f t="shared" si="0"/>
        <v>0</v>
      </c>
      <c r="K14" s="48">
        <f>SUMIF(Data!E:E,'มหาชัย(2)'!B14,Data!F:F)*J14</f>
        <v>0</v>
      </c>
      <c r="L14" s="49">
        <f t="shared" si="1"/>
        <v>0</v>
      </c>
      <c r="M14" s="50">
        <f t="shared" si="2"/>
        <v>0</v>
      </c>
      <c r="N14" s="33" t="e">
        <f>INDEX(Data!C:C,MATCH(F10,Data!B:B,0))</f>
        <v>#N/A</v>
      </c>
      <c r="O14" s="51" t="e">
        <f t="shared" si="3"/>
        <v>#N/A</v>
      </c>
    </row>
    <row r="15" spans="1:15" ht="44.45" customHeight="1" x14ac:dyDescent="0.2">
      <c r="A15" s="36">
        <v>8</v>
      </c>
      <c r="B15" s="26" t="s">
        <v>76</v>
      </c>
      <c r="C15" s="27">
        <f>SUMIF(Data!E:E,B15,Data!F:F)</f>
        <v>70</v>
      </c>
      <c r="D15" s="28"/>
      <c r="E15" s="29" t="s">
        <v>14</v>
      </c>
      <c r="F15" s="30"/>
      <c r="G15" s="31"/>
      <c r="H15" s="32">
        <f t="shared" si="4"/>
        <v>0</v>
      </c>
      <c r="J15" s="47">
        <f t="shared" si="0"/>
        <v>0</v>
      </c>
      <c r="K15" s="48">
        <f>SUMIF(Data!E:E,'มหาชัย(2)'!B15,Data!F:F)*J15</f>
        <v>0</v>
      </c>
      <c r="L15" s="49">
        <f t="shared" si="1"/>
        <v>0</v>
      </c>
      <c r="M15" s="50">
        <f t="shared" si="2"/>
        <v>0</v>
      </c>
      <c r="N15" s="33" t="e">
        <f>INDEX(Data!C:C,MATCH(F11,Data!B:B,0))</f>
        <v>#N/A</v>
      </c>
      <c r="O15" s="51" t="e">
        <f t="shared" si="3"/>
        <v>#N/A</v>
      </c>
    </row>
    <row r="16" spans="1:15" ht="44.45" customHeight="1" x14ac:dyDescent="0.2">
      <c r="A16" s="36">
        <v>9</v>
      </c>
      <c r="B16" s="26" t="s">
        <v>89</v>
      </c>
      <c r="C16" s="27">
        <f>SUMIF(Data!E:E,B16,Data!F:F)</f>
        <v>45</v>
      </c>
      <c r="D16" s="28"/>
      <c r="E16" s="29" t="s">
        <v>14</v>
      </c>
      <c r="F16" s="30"/>
      <c r="G16" s="31"/>
      <c r="H16" s="32">
        <f t="shared" si="4"/>
        <v>0</v>
      </c>
      <c r="J16" s="47">
        <f t="shared" si="0"/>
        <v>0</v>
      </c>
      <c r="K16" s="48">
        <f>SUMIF(Data!E:E,'มหาชัย(2)'!B16,Data!F:F)*J16</f>
        <v>0</v>
      </c>
      <c r="L16" s="49">
        <f t="shared" si="1"/>
        <v>0</v>
      </c>
      <c r="M16" s="50">
        <f t="shared" si="2"/>
        <v>0</v>
      </c>
      <c r="N16" s="33" t="e">
        <f>INDEX(Data!C:C,MATCH(F12,Data!B:B,0))</f>
        <v>#N/A</v>
      </c>
      <c r="O16" s="51" t="e">
        <f t="shared" si="3"/>
        <v>#N/A</v>
      </c>
    </row>
    <row r="17" spans="1:15" ht="44.45" customHeight="1" x14ac:dyDescent="0.2">
      <c r="A17" s="36">
        <v>10</v>
      </c>
      <c r="B17" s="26" t="s">
        <v>88</v>
      </c>
      <c r="C17" s="27">
        <f>SUMIF(Data!E:E,B17,Data!F:F)</f>
        <v>48</v>
      </c>
      <c r="D17" s="28"/>
      <c r="E17" s="29" t="s">
        <v>14</v>
      </c>
      <c r="F17" s="30"/>
      <c r="G17" s="31"/>
      <c r="H17" s="32">
        <f t="shared" si="4"/>
        <v>0</v>
      </c>
      <c r="J17" s="47">
        <f t="shared" si="0"/>
        <v>0</v>
      </c>
      <c r="K17" s="48">
        <f>SUMIF(Data!E:E,'มหาชัย(2)'!B17,Data!F:F)*J17</f>
        <v>0</v>
      </c>
      <c r="L17" s="49">
        <f t="shared" si="1"/>
        <v>0</v>
      </c>
      <c r="M17" s="50">
        <f t="shared" si="2"/>
        <v>0</v>
      </c>
      <c r="N17" s="33" t="e">
        <f>INDEX(Data!C:C,MATCH(F13,Data!B:B,0))</f>
        <v>#N/A</v>
      </c>
      <c r="O17" s="51" t="e">
        <f t="shared" si="3"/>
        <v>#N/A</v>
      </c>
    </row>
    <row r="18" spans="1:15" ht="44.45" customHeight="1" x14ac:dyDescent="0.2">
      <c r="A18" s="36">
        <v>11</v>
      </c>
      <c r="B18" s="26" t="s">
        <v>87</v>
      </c>
      <c r="C18" s="27">
        <f>SUMIF(Data!E:E,B18,Data!F:F)</f>
        <v>48</v>
      </c>
      <c r="D18" s="28"/>
      <c r="E18" s="29" t="s">
        <v>14</v>
      </c>
      <c r="F18" s="30"/>
      <c r="G18" s="31"/>
      <c r="H18" s="32">
        <f t="shared" si="4"/>
        <v>0</v>
      </c>
      <c r="J18" s="47">
        <f t="shared" si="0"/>
        <v>0</v>
      </c>
      <c r="K18" s="48">
        <f>SUMIF(Data!E:E,'มหาชัย(2)'!B18,Data!F:F)*J18</f>
        <v>0</v>
      </c>
      <c r="L18" s="49">
        <f t="shared" si="1"/>
        <v>0</v>
      </c>
      <c r="M18" s="50">
        <f t="shared" si="2"/>
        <v>0</v>
      </c>
      <c r="N18" s="33" t="e">
        <f>INDEX(Data!C:C,MATCH(F14,Data!B:B,0))</f>
        <v>#N/A</v>
      </c>
      <c r="O18" s="51" t="e">
        <f t="shared" si="3"/>
        <v>#N/A</v>
      </c>
    </row>
    <row r="19" spans="1:15" ht="44.45" customHeight="1" x14ac:dyDescent="0.2">
      <c r="A19" s="36">
        <v>12</v>
      </c>
      <c r="B19" s="26" t="s">
        <v>90</v>
      </c>
      <c r="C19" s="27">
        <f>SUMIF(Data!E:E,B19,Data!F:F)</f>
        <v>60</v>
      </c>
      <c r="D19" s="28"/>
      <c r="E19" s="29" t="s">
        <v>14</v>
      </c>
      <c r="F19" s="30"/>
      <c r="G19" s="31"/>
      <c r="H19" s="32">
        <f t="shared" si="4"/>
        <v>0</v>
      </c>
      <c r="J19" s="47">
        <f t="shared" si="0"/>
        <v>0</v>
      </c>
      <c r="K19" s="48">
        <f>SUMIF(Data!E:E,'มหาชัย(2)'!B19,Data!F:F)*J19</f>
        <v>0</v>
      </c>
      <c r="L19" s="49">
        <f t="shared" si="1"/>
        <v>0</v>
      </c>
      <c r="M19" s="50">
        <f t="shared" si="2"/>
        <v>0</v>
      </c>
      <c r="N19" s="33" t="e">
        <f>INDEX(Data!C:C,MATCH(F15,Data!B:B,0))</f>
        <v>#N/A</v>
      </c>
      <c r="O19" s="51" t="e">
        <f t="shared" si="3"/>
        <v>#N/A</v>
      </c>
    </row>
    <row r="20" spans="1:15" ht="44.45" customHeight="1" x14ac:dyDescent="0.2">
      <c r="A20" s="36">
        <v>13</v>
      </c>
      <c r="B20" s="26" t="s">
        <v>91</v>
      </c>
      <c r="C20" s="27">
        <f>SUMIF(Data!E:E,B20,Data!F:F)</f>
        <v>50</v>
      </c>
      <c r="D20" s="28"/>
      <c r="E20" s="29" t="s">
        <v>14</v>
      </c>
      <c r="F20" s="30"/>
      <c r="G20" s="31"/>
      <c r="H20" s="32">
        <f t="shared" si="4"/>
        <v>0</v>
      </c>
      <c r="J20" s="47">
        <f t="shared" si="0"/>
        <v>0</v>
      </c>
      <c r="K20" s="48">
        <f>SUMIF(Data!E:E,'มหาชัย(2)'!B20,Data!F:F)*J20</f>
        <v>0</v>
      </c>
      <c r="L20" s="49">
        <f t="shared" si="1"/>
        <v>0</v>
      </c>
      <c r="M20" s="50">
        <f t="shared" si="2"/>
        <v>0</v>
      </c>
      <c r="N20" s="33" t="e">
        <f>INDEX(Data!C:C,MATCH(F16,Data!B:B,0))</f>
        <v>#N/A</v>
      </c>
      <c r="O20" s="51" t="e">
        <f t="shared" si="3"/>
        <v>#N/A</v>
      </c>
    </row>
    <row r="21" spans="1:15" ht="44.45" customHeight="1" x14ac:dyDescent="0.2">
      <c r="A21" s="36">
        <v>14</v>
      </c>
      <c r="B21" s="26" t="s">
        <v>93</v>
      </c>
      <c r="C21" s="27">
        <f>SUMIF(Data!E:E,B21,Data!F:F)</f>
        <v>60</v>
      </c>
      <c r="D21" s="28"/>
      <c r="E21" s="29" t="s">
        <v>14</v>
      </c>
      <c r="F21" s="30"/>
      <c r="G21" s="31"/>
      <c r="H21" s="32">
        <f t="shared" si="4"/>
        <v>0</v>
      </c>
      <c r="J21" s="47">
        <f t="shared" si="0"/>
        <v>0</v>
      </c>
      <c r="K21" s="48">
        <f>SUMIF(Data!E:E,'มหาชัย(2)'!B21,Data!F:F)*J21</f>
        <v>0</v>
      </c>
      <c r="L21" s="49">
        <f t="shared" si="1"/>
        <v>0</v>
      </c>
      <c r="M21" s="50">
        <f t="shared" si="2"/>
        <v>0</v>
      </c>
      <c r="N21" s="33" t="e">
        <f>INDEX(Data!C:C,MATCH(F17,Data!B:B,0))</f>
        <v>#N/A</v>
      </c>
      <c r="O21" s="51" t="e">
        <f t="shared" si="3"/>
        <v>#N/A</v>
      </c>
    </row>
    <row r="22" spans="1:15" ht="44.45" customHeight="1" x14ac:dyDescent="0.2">
      <c r="A22" s="36">
        <v>15</v>
      </c>
      <c r="B22" s="26" t="s">
        <v>94</v>
      </c>
      <c r="C22" s="27">
        <f>SUMIF(Data!E:E,B22,Data!F:F)</f>
        <v>55</v>
      </c>
      <c r="D22" s="28"/>
      <c r="E22" s="29" t="s">
        <v>14</v>
      </c>
      <c r="F22" s="30"/>
      <c r="G22" s="31"/>
      <c r="H22" s="32">
        <f t="shared" si="4"/>
        <v>0</v>
      </c>
      <c r="J22" s="47">
        <f t="shared" si="0"/>
        <v>0</v>
      </c>
      <c r="K22" s="48">
        <f>SUMIF(Data!E:E,'มหาชัย(2)'!B22,Data!F:F)*J22</f>
        <v>0</v>
      </c>
      <c r="L22" s="49">
        <f t="shared" si="1"/>
        <v>0</v>
      </c>
      <c r="M22" s="50">
        <f t="shared" si="2"/>
        <v>0</v>
      </c>
      <c r="N22" s="33" t="e">
        <f>INDEX(Data!C:C,MATCH(F18,Data!B:B,0))</f>
        <v>#N/A</v>
      </c>
      <c r="O22" s="51" t="e">
        <f t="shared" si="3"/>
        <v>#N/A</v>
      </c>
    </row>
    <row r="23" spans="1:15" ht="44.45" customHeight="1" x14ac:dyDescent="0.2">
      <c r="A23" s="36">
        <v>16</v>
      </c>
      <c r="B23" s="26" t="s">
        <v>95</v>
      </c>
      <c r="C23" s="27">
        <f>SUMIF(Data!E:E,B23,Data!F:F)</f>
        <v>50</v>
      </c>
      <c r="D23" s="28"/>
      <c r="E23" s="29" t="s">
        <v>14</v>
      </c>
      <c r="F23" s="30"/>
      <c r="G23" s="31"/>
      <c r="H23" s="32">
        <f t="shared" si="4"/>
        <v>0</v>
      </c>
      <c r="J23" s="47">
        <f t="shared" si="0"/>
        <v>0</v>
      </c>
      <c r="K23" s="48">
        <f>SUMIF(Data!E:E,'มหาชัย(2)'!B23,Data!F:F)*J23</f>
        <v>0</v>
      </c>
      <c r="L23" s="49">
        <f t="shared" si="1"/>
        <v>0</v>
      </c>
      <c r="M23" s="50">
        <f t="shared" si="2"/>
        <v>0</v>
      </c>
      <c r="N23" s="33" t="e">
        <f>INDEX(Data!C:C,MATCH(F19,Data!B:B,0))</f>
        <v>#N/A</v>
      </c>
      <c r="O23" s="51" t="e">
        <f t="shared" si="3"/>
        <v>#N/A</v>
      </c>
    </row>
    <row r="24" spans="1:15" ht="44.45" customHeight="1" x14ac:dyDescent="0.2">
      <c r="A24" s="36">
        <v>17</v>
      </c>
      <c r="B24" s="26" t="s">
        <v>98</v>
      </c>
      <c r="C24" s="27">
        <f>SUMIF(Data!E:E,B24,Data!F:F)</f>
        <v>55</v>
      </c>
      <c r="D24" s="28"/>
      <c r="E24" s="29" t="s">
        <v>14</v>
      </c>
      <c r="F24" s="30"/>
      <c r="G24" s="31"/>
      <c r="H24" s="32">
        <f t="shared" si="4"/>
        <v>0</v>
      </c>
      <c r="J24" s="47">
        <f t="shared" si="0"/>
        <v>0</v>
      </c>
      <c r="K24" s="48">
        <f>SUMIF(Data!E:E,'มหาชัย(2)'!B24,Data!F:F)*J24</f>
        <v>0</v>
      </c>
      <c r="L24" s="49">
        <f t="shared" si="1"/>
        <v>0</v>
      </c>
      <c r="M24" s="50">
        <f t="shared" si="2"/>
        <v>0</v>
      </c>
      <c r="N24" s="33" t="e">
        <f>INDEX(Data!C:C,MATCH(F20,Data!B:B,0))</f>
        <v>#N/A</v>
      </c>
      <c r="O24" s="51" t="e">
        <f t="shared" si="3"/>
        <v>#N/A</v>
      </c>
    </row>
    <row r="25" spans="1:15" ht="44.45" customHeight="1" x14ac:dyDescent="0.2">
      <c r="A25" s="36">
        <v>18</v>
      </c>
      <c r="B25" s="26" t="s">
        <v>99</v>
      </c>
      <c r="C25" s="27">
        <f>SUMIF(Data!E:E,B25,Data!F:F)</f>
        <v>55</v>
      </c>
      <c r="D25" s="28"/>
      <c r="E25" s="29" t="s">
        <v>14</v>
      </c>
      <c r="F25" s="30"/>
      <c r="G25" s="31"/>
      <c r="H25" s="32">
        <f t="shared" si="4"/>
        <v>0</v>
      </c>
      <c r="J25" s="47">
        <f t="shared" si="0"/>
        <v>0</v>
      </c>
      <c r="K25" s="48">
        <f>SUMIF(Data!E:E,'มหาชัย(2)'!B25,Data!F:F)*J25</f>
        <v>0</v>
      </c>
      <c r="L25" s="49">
        <f t="shared" si="1"/>
        <v>0</v>
      </c>
      <c r="M25" s="50">
        <f t="shared" si="2"/>
        <v>0</v>
      </c>
      <c r="N25" s="33" t="e">
        <f>INDEX(Data!C:C,MATCH(F21,Data!B:B,0))</f>
        <v>#N/A</v>
      </c>
      <c r="O25" s="51" t="e">
        <f t="shared" si="3"/>
        <v>#N/A</v>
      </c>
    </row>
    <row r="26" spans="1:15" ht="44.45" customHeight="1" x14ac:dyDescent="0.2">
      <c r="A26" s="36">
        <v>19</v>
      </c>
      <c r="B26" s="26" t="s">
        <v>100</v>
      </c>
      <c r="C26" s="27">
        <f>SUMIF(Data!E:E,B26,Data!F:F)</f>
        <v>81</v>
      </c>
      <c r="D26" s="28"/>
      <c r="E26" s="29" t="s">
        <v>14</v>
      </c>
      <c r="F26" s="30"/>
      <c r="G26" s="31"/>
      <c r="H26" s="32">
        <f t="shared" si="4"/>
        <v>0</v>
      </c>
      <c r="J26" s="47">
        <f t="shared" si="0"/>
        <v>0</v>
      </c>
      <c r="K26" s="48">
        <f>SUMIF(Data!E:E,'มหาชัย(2)'!B26,Data!F:F)*J26</f>
        <v>0</v>
      </c>
      <c r="L26" s="49">
        <f t="shared" si="1"/>
        <v>0</v>
      </c>
      <c r="M26" s="50">
        <f t="shared" si="2"/>
        <v>0</v>
      </c>
      <c r="N26" s="33" t="e">
        <f>INDEX(Data!C:C,MATCH(F22,Data!B:B,0))</f>
        <v>#N/A</v>
      </c>
      <c r="O26" s="51" t="e">
        <f t="shared" si="3"/>
        <v>#N/A</v>
      </c>
    </row>
    <row r="27" spans="1:15" ht="54.6" customHeight="1" x14ac:dyDescent="0.2">
      <c r="A27" s="60" t="s">
        <v>5</v>
      </c>
      <c r="B27" s="60"/>
      <c r="C27" s="40"/>
      <c r="D27" s="41"/>
      <c r="E27" s="42"/>
      <c r="F27" s="42"/>
      <c r="G27" s="42"/>
      <c r="H27" s="1"/>
      <c r="J27" s="14" t="s">
        <v>39</v>
      </c>
      <c r="K27" s="14" t="s">
        <v>41</v>
      </c>
      <c r="L27" s="14" t="s">
        <v>57</v>
      </c>
    </row>
    <row r="28" spans="1:15" ht="20.100000000000001" customHeight="1" x14ac:dyDescent="0.2">
      <c r="J28" s="13">
        <f>SUM($J$8:$J$26)</f>
        <v>0</v>
      </c>
      <c r="K28" s="13">
        <f>SUM($L$8:$L$26)</f>
        <v>0</v>
      </c>
      <c r="L28" s="13">
        <f>SUM(J28:K28)</f>
        <v>0</v>
      </c>
    </row>
    <row r="29" spans="1:15" ht="20.100000000000001" customHeight="1" x14ac:dyDescent="0.2">
      <c r="L29" s="13"/>
    </row>
    <row r="30" spans="1:15" ht="61.5" customHeight="1" x14ac:dyDescent="0.25">
      <c r="A30" s="8"/>
      <c r="B30" s="9" t="s">
        <v>29</v>
      </c>
      <c r="C30" s="9"/>
      <c r="G30" s="8" t="s">
        <v>31</v>
      </c>
      <c r="N30" s="8"/>
      <c r="O30" s="8"/>
    </row>
    <row r="31" spans="1:15" ht="61.5" customHeight="1" x14ac:dyDescent="0.25">
      <c r="A31" s="8"/>
      <c r="B31" s="8" t="s">
        <v>28</v>
      </c>
      <c r="C31" s="8"/>
      <c r="F31" s="8"/>
      <c r="G31" s="8" t="s">
        <v>32</v>
      </c>
      <c r="H31" s="8"/>
      <c r="N31" s="8"/>
      <c r="O31" s="8"/>
    </row>
    <row r="32" spans="1:15" ht="61.5" customHeight="1" x14ac:dyDescent="0.25">
      <c r="A32" s="8"/>
      <c r="B32" s="8" t="s">
        <v>30</v>
      </c>
      <c r="C32" s="8"/>
      <c r="F32" s="8"/>
      <c r="G32" s="8" t="s">
        <v>33</v>
      </c>
      <c r="H32" s="9"/>
      <c r="J32" s="11"/>
      <c r="L32" s="9"/>
      <c r="N32" s="9"/>
      <c r="O32" s="9"/>
    </row>
    <row r="33" ht="20.100000000000001" customHeight="1" x14ac:dyDescent="0.2"/>
    <row r="34" ht="20.100000000000001" customHeight="1" x14ac:dyDescent="0.2"/>
    <row r="35" ht="20.100000000000001" customHeight="1" x14ac:dyDescent="0.2"/>
    <row r="36" ht="20.100000000000001" customHeight="1" x14ac:dyDescent="0.2"/>
    <row r="37" ht="20.100000000000001" customHeight="1" x14ac:dyDescent="0.2"/>
    <row r="38" ht="20.100000000000001" customHeight="1" x14ac:dyDescent="0.2"/>
    <row r="39" ht="20.100000000000001" customHeight="1" x14ac:dyDescent="0.2"/>
    <row r="40" ht="20.100000000000001" customHeight="1" x14ac:dyDescent="0.2"/>
    <row r="41" ht="20.100000000000001" customHeight="1" x14ac:dyDescent="0.2"/>
  </sheetData>
  <mergeCells count="13">
    <mergeCell ref="A1:F2"/>
    <mergeCell ref="A3:H3"/>
    <mergeCell ref="D4:E4"/>
    <mergeCell ref="F4:H4"/>
    <mergeCell ref="A5:A6"/>
    <mergeCell ref="B5:B6"/>
    <mergeCell ref="D5:E5"/>
    <mergeCell ref="F5:H6"/>
    <mergeCell ref="J5:M5"/>
    <mergeCell ref="D6:E6"/>
    <mergeCell ref="J6:K6"/>
    <mergeCell ref="L6:M6"/>
    <mergeCell ref="A27:B27"/>
  </mergeCells>
  <conditionalFormatting sqref="H8:H26">
    <cfRule type="cellIs" dxfId="65" priority="5" operator="lessThan">
      <formula>-1</formula>
    </cfRule>
    <cfRule type="cellIs" dxfId="64" priority="6" operator="equal">
      <formula>"-"</formula>
    </cfRule>
  </conditionalFormatting>
  <conditionalFormatting sqref="J8:O26">
    <cfRule type="containsErrors" dxfId="63" priority="4">
      <formula>ISERROR(J8)</formula>
    </cfRule>
  </conditionalFormatting>
  <conditionalFormatting sqref="O8:O26">
    <cfRule type="cellIs" dxfId="62" priority="1" operator="lessThan">
      <formula>0</formula>
    </cfRule>
    <cfRule type="cellIs" dxfId="61" priority="2" operator="greaterThan">
      <formula>15</formula>
    </cfRule>
    <cfRule type="cellIs" dxfId="60" priority="3" operator="lessThan">
      <formula>16</formula>
    </cfRule>
  </conditionalFormatting>
  <pageMargins left="0.7" right="0.7" top="0.75" bottom="0.75" header="0.3" footer="0.3"/>
  <pageSetup paperSize="9" scale="38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2C01EEC-6C40-4C87-BD76-F643789ED65B}">
          <x14:formula1>
            <xm:f>Data!$B$2:$B$22</xm:f>
          </x14:formula1>
          <xm:sqref>F4</xm:sqref>
        </x14:dataValidation>
        <x14:dataValidation type="list" allowBlank="1" showInputMessage="1" showErrorMessage="1" xr:uid="{540FD223-72AF-495C-96F6-7CD92D458F0F}">
          <x14:formula1>
            <xm:f>Data!$G$2:$G$6</xm:f>
          </x14:formula1>
          <xm:sqref>E8:E26</xm:sqref>
        </x14:dataValidation>
        <x14:dataValidation type="list" allowBlank="1" showInputMessage="1" showErrorMessage="1" xr:uid="{57115883-06F5-49E5-99BF-7D5ABA0B55CB}">
          <x14:formula1>
            <xm:f>Data!$E$2:$E$37</xm:f>
          </x14:formula1>
          <xm:sqref>B8:B26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4D7FA-D660-4D83-9C36-654B1EAB5176}">
  <sheetPr>
    <tabColor rgb="FF92D050"/>
    <pageSetUpPr fitToPage="1"/>
  </sheetPr>
  <dimension ref="A1:O41"/>
  <sheetViews>
    <sheetView topLeftCell="A10" zoomScale="55" zoomScaleNormal="55" zoomScaleSheetLayoutView="50" workbookViewId="0">
      <selection activeCell="B26" sqref="B26"/>
    </sheetView>
  </sheetViews>
  <sheetFormatPr defaultRowHeight="14.25" x14ac:dyDescent="0.2"/>
  <cols>
    <col min="2" max="2" width="60.875" customWidth="1"/>
    <col min="3" max="3" width="9.375" customWidth="1"/>
    <col min="4" max="4" width="19.625" customWidth="1"/>
    <col min="5" max="5" width="10.375" customWidth="1"/>
    <col min="6" max="7" width="22.125" customWidth="1"/>
    <col min="8" max="8" width="20.875" customWidth="1"/>
    <col min="9" max="9" width="1.875" customWidth="1"/>
    <col min="10" max="10" width="13.875" customWidth="1"/>
    <col min="11" max="11" width="25.125" bestFit="1" customWidth="1"/>
    <col min="12" max="13" width="13.875" customWidth="1"/>
    <col min="14" max="14" width="8.75" customWidth="1"/>
    <col min="15" max="15" width="18.125" customWidth="1"/>
  </cols>
  <sheetData>
    <row r="1" spans="1:15" ht="39.6" customHeight="1" x14ac:dyDescent="0.2">
      <c r="A1" s="61" t="s">
        <v>19</v>
      </c>
      <c r="B1" s="61"/>
      <c r="C1" s="61"/>
      <c r="D1" s="61"/>
      <c r="E1" s="61"/>
      <c r="F1" s="61"/>
      <c r="G1" s="6" t="s">
        <v>17</v>
      </c>
      <c r="H1" s="5" t="s">
        <v>58</v>
      </c>
    </row>
    <row r="2" spans="1:15" ht="40.5" customHeight="1" thickBot="1" x14ac:dyDescent="0.25">
      <c r="A2" s="62"/>
      <c r="B2" s="62"/>
      <c r="C2" s="62"/>
      <c r="D2" s="62"/>
      <c r="E2" s="62"/>
      <c r="F2" s="62"/>
      <c r="G2" s="6" t="s">
        <v>27</v>
      </c>
      <c r="H2" s="15"/>
    </row>
    <row r="3" spans="1:15" ht="48.6" customHeight="1" x14ac:dyDescent="0.2">
      <c r="A3" s="63" t="s">
        <v>1</v>
      </c>
      <c r="B3" s="64"/>
      <c r="C3" s="64"/>
      <c r="D3" s="64"/>
      <c r="E3" s="64"/>
      <c r="F3" s="64"/>
      <c r="G3" s="64"/>
      <c r="H3" s="65"/>
    </row>
    <row r="4" spans="1:15" ht="54.95" customHeight="1" x14ac:dyDescent="0.2">
      <c r="A4" s="33" t="s">
        <v>0</v>
      </c>
      <c r="B4" s="34" t="s">
        <v>21</v>
      </c>
      <c r="C4" s="35"/>
      <c r="D4" s="66" t="s">
        <v>6</v>
      </c>
      <c r="E4" s="66"/>
      <c r="F4" s="57" t="s">
        <v>35</v>
      </c>
      <c r="G4" s="57"/>
      <c r="H4" s="57"/>
    </row>
    <row r="5" spans="1:15" ht="30.95" customHeight="1" x14ac:dyDescent="0.2">
      <c r="A5" s="55" t="s">
        <v>2</v>
      </c>
      <c r="B5" s="67"/>
      <c r="C5" s="37"/>
      <c r="D5" s="55" t="s">
        <v>18</v>
      </c>
      <c r="E5" s="55"/>
      <c r="F5" s="68"/>
      <c r="G5" s="68"/>
      <c r="H5" s="68"/>
      <c r="J5" s="55" t="s">
        <v>38</v>
      </c>
      <c r="K5" s="55"/>
      <c r="L5" s="55"/>
      <c r="M5" s="55"/>
    </row>
    <row r="6" spans="1:15" ht="30.6" customHeight="1" x14ac:dyDescent="0.2">
      <c r="A6" s="55"/>
      <c r="B6" s="67"/>
      <c r="C6" s="37"/>
      <c r="D6" s="56"/>
      <c r="E6" s="57"/>
      <c r="F6" s="68"/>
      <c r="G6" s="68"/>
      <c r="H6" s="68"/>
      <c r="J6" s="58" t="s">
        <v>39</v>
      </c>
      <c r="K6" s="58"/>
      <c r="L6" s="59" t="s">
        <v>41</v>
      </c>
      <c r="M6" s="59"/>
    </row>
    <row r="7" spans="1:15" s="7" customFormat="1" ht="36.6" customHeight="1" x14ac:dyDescent="0.25">
      <c r="A7" s="38" t="s">
        <v>3</v>
      </c>
      <c r="B7" s="38" t="s">
        <v>4</v>
      </c>
      <c r="C7" s="38" t="s">
        <v>42</v>
      </c>
      <c r="D7" s="38" t="s">
        <v>11</v>
      </c>
      <c r="E7" s="38" t="s">
        <v>12</v>
      </c>
      <c r="F7" s="38" t="s">
        <v>9</v>
      </c>
      <c r="G7" s="38" t="s">
        <v>10</v>
      </c>
      <c r="H7" s="39" t="s">
        <v>24</v>
      </c>
      <c r="J7" s="43" t="s">
        <v>40</v>
      </c>
      <c r="K7" s="44" t="s">
        <v>14</v>
      </c>
      <c r="L7" s="45" t="s">
        <v>40</v>
      </c>
      <c r="M7" s="46" t="s">
        <v>14</v>
      </c>
      <c r="N7" s="42" t="s">
        <v>25</v>
      </c>
      <c r="O7" s="42" t="s">
        <v>26</v>
      </c>
    </row>
    <row r="8" spans="1:15" ht="44.45" customHeight="1" x14ac:dyDescent="0.2">
      <c r="A8" s="36">
        <v>1</v>
      </c>
      <c r="B8" s="26" t="s">
        <v>77</v>
      </c>
      <c r="C8" s="27">
        <f>SUMIF(Data!E:E,B8,Data!F:F)</f>
        <v>42</v>
      </c>
      <c r="D8" s="28"/>
      <c r="E8" s="29" t="s">
        <v>14</v>
      </c>
      <c r="F8" s="30"/>
      <c r="G8" s="31"/>
      <c r="H8" s="32">
        <f>+G8-$D$6</f>
        <v>0</v>
      </c>
      <c r="J8" s="47">
        <f t="shared" ref="J8:J26" si="0">ROUNDDOWN((D8/C8),0)</f>
        <v>0</v>
      </c>
      <c r="K8" s="48">
        <f>SUMIF(Data!E:E,'มหาชัย(2)'!B8,Data!F:F)*J8</f>
        <v>0</v>
      </c>
      <c r="L8" s="49">
        <f t="shared" ref="L8:L26" si="1">ROUNDUP((M8/C8),0)</f>
        <v>0</v>
      </c>
      <c r="M8" s="50">
        <f t="shared" ref="M8:M26" si="2">D8-K8</f>
        <v>0</v>
      </c>
      <c r="N8" s="33">
        <f>INDEX(Data!C:C,MATCH(F4,Data!B:B,0))</f>
        <v>60</v>
      </c>
      <c r="O8" s="51">
        <f t="shared" ref="O8:O26" si="3">H8-N8</f>
        <v>-60</v>
      </c>
    </row>
    <row r="9" spans="1:15" ht="44.45" customHeight="1" x14ac:dyDescent="0.2">
      <c r="A9" s="36">
        <v>2</v>
      </c>
      <c r="B9" s="26" t="s">
        <v>66</v>
      </c>
      <c r="C9" s="27">
        <f>SUMIF(Data!E:E,B9,Data!F:F)</f>
        <v>36</v>
      </c>
      <c r="D9" s="28"/>
      <c r="E9" s="29" t="s">
        <v>14</v>
      </c>
      <c r="F9" s="30"/>
      <c r="G9" s="31"/>
      <c r="H9" s="32">
        <f t="shared" ref="H9:H26" si="4">+G9-$D$6</f>
        <v>0</v>
      </c>
      <c r="J9" s="47">
        <f t="shared" si="0"/>
        <v>0</v>
      </c>
      <c r="K9" s="48">
        <f>SUMIF(Data!E:E,'มหาชัย(2)'!B9,Data!F:F)*J9</f>
        <v>0</v>
      </c>
      <c r="L9" s="49">
        <f t="shared" si="1"/>
        <v>0</v>
      </c>
      <c r="M9" s="50">
        <f t="shared" si="2"/>
        <v>0</v>
      </c>
      <c r="N9" s="33" t="e">
        <f>INDEX(Data!C:C,MATCH(F5,Data!B:B,0))</f>
        <v>#N/A</v>
      </c>
      <c r="O9" s="51" t="e">
        <f t="shared" si="3"/>
        <v>#N/A</v>
      </c>
    </row>
    <row r="10" spans="1:15" ht="44.45" customHeight="1" x14ac:dyDescent="0.2">
      <c r="A10" s="36">
        <v>3</v>
      </c>
      <c r="B10" s="26" t="s">
        <v>79</v>
      </c>
      <c r="C10" s="27">
        <f>SUMIF(Data!E:E,B10,Data!F:F)</f>
        <v>42</v>
      </c>
      <c r="D10" s="28"/>
      <c r="E10" s="29" t="s">
        <v>14</v>
      </c>
      <c r="F10" s="30"/>
      <c r="G10" s="31"/>
      <c r="H10" s="32">
        <f t="shared" si="4"/>
        <v>0</v>
      </c>
      <c r="J10" s="47">
        <f t="shared" si="0"/>
        <v>0</v>
      </c>
      <c r="K10" s="48">
        <f>SUMIF(Data!E:E,'มหาชัย(2)'!B10,Data!F:F)*J10</f>
        <v>0</v>
      </c>
      <c r="L10" s="49">
        <f t="shared" si="1"/>
        <v>0</v>
      </c>
      <c r="M10" s="50">
        <f t="shared" si="2"/>
        <v>0</v>
      </c>
      <c r="N10" s="33" t="e">
        <f>INDEX(Data!C:C,MATCH(F6,Data!B:B,0))</f>
        <v>#N/A</v>
      </c>
      <c r="O10" s="51" t="e">
        <f t="shared" si="3"/>
        <v>#N/A</v>
      </c>
    </row>
    <row r="11" spans="1:15" ht="44.45" customHeight="1" x14ac:dyDescent="0.2">
      <c r="A11" s="36">
        <v>4</v>
      </c>
      <c r="B11" s="26" t="s">
        <v>80</v>
      </c>
      <c r="C11" s="27">
        <f>SUMIF(Data!E:E,B11,Data!F:F)</f>
        <v>50</v>
      </c>
      <c r="D11" s="28"/>
      <c r="E11" s="29" t="s">
        <v>14</v>
      </c>
      <c r="F11" s="30"/>
      <c r="G11" s="31"/>
      <c r="H11" s="32">
        <f t="shared" si="4"/>
        <v>0</v>
      </c>
      <c r="J11" s="47">
        <f t="shared" si="0"/>
        <v>0</v>
      </c>
      <c r="K11" s="48">
        <f>SUMIF(Data!E:E,'มหาชัย(2)'!B11,Data!F:F)*J11</f>
        <v>0</v>
      </c>
      <c r="L11" s="49">
        <f t="shared" si="1"/>
        <v>0</v>
      </c>
      <c r="M11" s="50">
        <f t="shared" si="2"/>
        <v>0</v>
      </c>
      <c r="N11" s="33" t="e">
        <f>INDEX(Data!C:C,MATCH(F7,Data!B:B,0))</f>
        <v>#N/A</v>
      </c>
      <c r="O11" s="51" t="e">
        <f t="shared" si="3"/>
        <v>#N/A</v>
      </c>
    </row>
    <row r="12" spans="1:15" ht="44.45" customHeight="1" x14ac:dyDescent="0.2">
      <c r="A12" s="36">
        <v>5</v>
      </c>
      <c r="B12" s="26" t="s">
        <v>71</v>
      </c>
      <c r="C12" s="27">
        <f>SUMIF(Data!E:E,B12,Data!F:F)</f>
        <v>81</v>
      </c>
      <c r="D12" s="28"/>
      <c r="E12" s="29" t="s">
        <v>14</v>
      </c>
      <c r="F12" s="30"/>
      <c r="G12" s="31"/>
      <c r="H12" s="32">
        <f t="shared" si="4"/>
        <v>0</v>
      </c>
      <c r="J12" s="47">
        <f t="shared" si="0"/>
        <v>0</v>
      </c>
      <c r="K12" s="48">
        <f>SUMIF(Data!E:E,'มหาชัย(2)'!B12,Data!F:F)*J12</f>
        <v>0</v>
      </c>
      <c r="L12" s="49">
        <f t="shared" si="1"/>
        <v>0</v>
      </c>
      <c r="M12" s="50">
        <f t="shared" si="2"/>
        <v>0</v>
      </c>
      <c r="N12" s="33" t="e">
        <f>INDEX(Data!C:C,MATCH(F8,Data!B:B,0))</f>
        <v>#N/A</v>
      </c>
      <c r="O12" s="51" t="e">
        <f t="shared" si="3"/>
        <v>#N/A</v>
      </c>
    </row>
    <row r="13" spans="1:15" ht="44.45" customHeight="1" x14ac:dyDescent="0.2">
      <c r="A13" s="36">
        <v>6</v>
      </c>
      <c r="B13" s="26" t="s">
        <v>84</v>
      </c>
      <c r="C13" s="27">
        <f>SUMIF(Data!E:E,B13,Data!F:F)</f>
        <v>42</v>
      </c>
      <c r="D13" s="28"/>
      <c r="E13" s="29" t="s">
        <v>14</v>
      </c>
      <c r="F13" s="30"/>
      <c r="G13" s="31"/>
      <c r="H13" s="32">
        <f t="shared" si="4"/>
        <v>0</v>
      </c>
      <c r="J13" s="47">
        <f t="shared" si="0"/>
        <v>0</v>
      </c>
      <c r="K13" s="48">
        <f>SUMIF(Data!E:E,'มหาชัย(2)'!B13,Data!F:F)*J13</f>
        <v>0</v>
      </c>
      <c r="L13" s="49">
        <f t="shared" si="1"/>
        <v>0</v>
      </c>
      <c r="M13" s="50">
        <f t="shared" si="2"/>
        <v>0</v>
      </c>
      <c r="N13" s="33" t="e">
        <f>INDEX(Data!C:C,MATCH(F9,Data!B:B,0))</f>
        <v>#N/A</v>
      </c>
      <c r="O13" s="51" t="e">
        <f t="shared" si="3"/>
        <v>#N/A</v>
      </c>
    </row>
    <row r="14" spans="1:15" ht="44.45" customHeight="1" x14ac:dyDescent="0.2">
      <c r="A14" s="36">
        <v>7</v>
      </c>
      <c r="B14" s="26" t="s">
        <v>85</v>
      </c>
      <c r="C14" s="27">
        <f>SUMIF(Data!E:E,B14,Data!F:F)</f>
        <v>32</v>
      </c>
      <c r="D14" s="28"/>
      <c r="E14" s="29" t="s">
        <v>14</v>
      </c>
      <c r="F14" s="30"/>
      <c r="G14" s="31"/>
      <c r="H14" s="32">
        <f t="shared" si="4"/>
        <v>0</v>
      </c>
      <c r="J14" s="47">
        <f t="shared" si="0"/>
        <v>0</v>
      </c>
      <c r="K14" s="48">
        <f>SUMIF(Data!E:E,'มหาชัย(2)'!B14,Data!F:F)*J14</f>
        <v>0</v>
      </c>
      <c r="L14" s="49">
        <f t="shared" si="1"/>
        <v>0</v>
      </c>
      <c r="M14" s="50">
        <f t="shared" si="2"/>
        <v>0</v>
      </c>
      <c r="N14" s="33" t="e">
        <f>INDEX(Data!C:C,MATCH(F10,Data!B:B,0))</f>
        <v>#N/A</v>
      </c>
      <c r="O14" s="51" t="e">
        <f t="shared" si="3"/>
        <v>#N/A</v>
      </c>
    </row>
    <row r="15" spans="1:15" ht="44.45" customHeight="1" x14ac:dyDescent="0.2">
      <c r="A15" s="36">
        <v>8</v>
      </c>
      <c r="B15" s="26" t="s">
        <v>76</v>
      </c>
      <c r="C15" s="27">
        <f>SUMIF(Data!E:E,B15,Data!F:F)</f>
        <v>70</v>
      </c>
      <c r="D15" s="28"/>
      <c r="E15" s="29" t="s">
        <v>14</v>
      </c>
      <c r="F15" s="30"/>
      <c r="G15" s="31"/>
      <c r="H15" s="32">
        <f t="shared" si="4"/>
        <v>0</v>
      </c>
      <c r="J15" s="47">
        <f t="shared" si="0"/>
        <v>0</v>
      </c>
      <c r="K15" s="48">
        <f>SUMIF(Data!E:E,'มหาชัย(2)'!B15,Data!F:F)*J15</f>
        <v>0</v>
      </c>
      <c r="L15" s="49">
        <f t="shared" si="1"/>
        <v>0</v>
      </c>
      <c r="M15" s="50">
        <f t="shared" si="2"/>
        <v>0</v>
      </c>
      <c r="N15" s="33" t="e">
        <f>INDEX(Data!C:C,MATCH(F11,Data!B:B,0))</f>
        <v>#N/A</v>
      </c>
      <c r="O15" s="51" t="e">
        <f t="shared" si="3"/>
        <v>#N/A</v>
      </c>
    </row>
    <row r="16" spans="1:15" ht="44.45" customHeight="1" x14ac:dyDescent="0.2">
      <c r="A16" s="36">
        <v>9</v>
      </c>
      <c r="B16" s="26" t="s">
        <v>89</v>
      </c>
      <c r="C16" s="27">
        <f>SUMIF(Data!E:E,B16,Data!F:F)</f>
        <v>45</v>
      </c>
      <c r="D16" s="28"/>
      <c r="E16" s="29" t="s">
        <v>14</v>
      </c>
      <c r="F16" s="30"/>
      <c r="G16" s="31"/>
      <c r="H16" s="32">
        <f t="shared" si="4"/>
        <v>0</v>
      </c>
      <c r="J16" s="47">
        <f t="shared" si="0"/>
        <v>0</v>
      </c>
      <c r="K16" s="48">
        <f>SUMIF(Data!E:E,'มหาชัย(2)'!B16,Data!F:F)*J16</f>
        <v>0</v>
      </c>
      <c r="L16" s="49">
        <f t="shared" si="1"/>
        <v>0</v>
      </c>
      <c r="M16" s="50">
        <f t="shared" si="2"/>
        <v>0</v>
      </c>
      <c r="N16" s="33" t="e">
        <f>INDEX(Data!C:C,MATCH(F12,Data!B:B,0))</f>
        <v>#N/A</v>
      </c>
      <c r="O16" s="51" t="e">
        <f t="shared" si="3"/>
        <v>#N/A</v>
      </c>
    </row>
    <row r="17" spans="1:15" ht="44.45" customHeight="1" x14ac:dyDescent="0.2">
      <c r="A17" s="36">
        <v>10</v>
      </c>
      <c r="B17" s="26" t="s">
        <v>88</v>
      </c>
      <c r="C17" s="27">
        <f>SUMIF(Data!E:E,B17,Data!F:F)</f>
        <v>48</v>
      </c>
      <c r="D17" s="28"/>
      <c r="E17" s="29" t="s">
        <v>14</v>
      </c>
      <c r="F17" s="30"/>
      <c r="G17" s="31"/>
      <c r="H17" s="32">
        <f t="shared" si="4"/>
        <v>0</v>
      </c>
      <c r="J17" s="47">
        <f t="shared" si="0"/>
        <v>0</v>
      </c>
      <c r="K17" s="48">
        <f>SUMIF(Data!E:E,'มหาชัย(2)'!B17,Data!F:F)*J17</f>
        <v>0</v>
      </c>
      <c r="L17" s="49">
        <f t="shared" si="1"/>
        <v>0</v>
      </c>
      <c r="M17" s="50">
        <f t="shared" si="2"/>
        <v>0</v>
      </c>
      <c r="N17" s="33" t="e">
        <f>INDEX(Data!C:C,MATCH(F13,Data!B:B,0))</f>
        <v>#N/A</v>
      </c>
      <c r="O17" s="51" t="e">
        <f t="shared" si="3"/>
        <v>#N/A</v>
      </c>
    </row>
    <row r="18" spans="1:15" ht="44.45" customHeight="1" x14ac:dyDescent="0.2">
      <c r="A18" s="36">
        <v>11</v>
      </c>
      <c r="B18" s="26" t="s">
        <v>87</v>
      </c>
      <c r="C18" s="27">
        <f>SUMIF(Data!E:E,B18,Data!F:F)</f>
        <v>48</v>
      </c>
      <c r="D18" s="28"/>
      <c r="E18" s="29" t="s">
        <v>14</v>
      </c>
      <c r="F18" s="30"/>
      <c r="G18" s="31"/>
      <c r="H18" s="32">
        <f t="shared" si="4"/>
        <v>0</v>
      </c>
      <c r="J18" s="47">
        <f t="shared" si="0"/>
        <v>0</v>
      </c>
      <c r="K18" s="48">
        <f>SUMIF(Data!E:E,'มหาชัย(2)'!B18,Data!F:F)*J18</f>
        <v>0</v>
      </c>
      <c r="L18" s="49">
        <f t="shared" si="1"/>
        <v>0</v>
      </c>
      <c r="M18" s="50">
        <f t="shared" si="2"/>
        <v>0</v>
      </c>
      <c r="N18" s="33" t="e">
        <f>INDEX(Data!C:C,MATCH(F14,Data!B:B,0))</f>
        <v>#N/A</v>
      </c>
      <c r="O18" s="51" t="e">
        <f t="shared" si="3"/>
        <v>#N/A</v>
      </c>
    </row>
    <row r="19" spans="1:15" ht="44.45" customHeight="1" x14ac:dyDescent="0.2">
      <c r="A19" s="36">
        <v>12</v>
      </c>
      <c r="B19" s="26" t="s">
        <v>90</v>
      </c>
      <c r="C19" s="27">
        <f>SUMIF(Data!E:E,B19,Data!F:F)</f>
        <v>60</v>
      </c>
      <c r="D19" s="28"/>
      <c r="E19" s="29" t="s">
        <v>14</v>
      </c>
      <c r="F19" s="30"/>
      <c r="G19" s="31"/>
      <c r="H19" s="32">
        <f t="shared" si="4"/>
        <v>0</v>
      </c>
      <c r="J19" s="47">
        <f t="shared" si="0"/>
        <v>0</v>
      </c>
      <c r="K19" s="48">
        <f>SUMIF(Data!E:E,'มหาชัย(2)'!B19,Data!F:F)*J19</f>
        <v>0</v>
      </c>
      <c r="L19" s="49">
        <f t="shared" si="1"/>
        <v>0</v>
      </c>
      <c r="M19" s="50">
        <f t="shared" si="2"/>
        <v>0</v>
      </c>
      <c r="N19" s="33" t="e">
        <f>INDEX(Data!C:C,MATCH(F15,Data!B:B,0))</f>
        <v>#N/A</v>
      </c>
      <c r="O19" s="51" t="e">
        <f t="shared" si="3"/>
        <v>#N/A</v>
      </c>
    </row>
    <row r="20" spans="1:15" ht="44.45" customHeight="1" x14ac:dyDescent="0.2">
      <c r="A20" s="36">
        <v>13</v>
      </c>
      <c r="B20" s="26" t="s">
        <v>91</v>
      </c>
      <c r="C20" s="27">
        <f>SUMIF(Data!E:E,B20,Data!F:F)</f>
        <v>50</v>
      </c>
      <c r="D20" s="28"/>
      <c r="E20" s="29" t="s">
        <v>14</v>
      </c>
      <c r="F20" s="30"/>
      <c r="G20" s="31"/>
      <c r="H20" s="32">
        <f t="shared" si="4"/>
        <v>0</v>
      </c>
      <c r="J20" s="47">
        <f t="shared" si="0"/>
        <v>0</v>
      </c>
      <c r="K20" s="48">
        <f>SUMIF(Data!E:E,'มหาชัย(2)'!B20,Data!F:F)*J20</f>
        <v>0</v>
      </c>
      <c r="L20" s="49">
        <f t="shared" si="1"/>
        <v>0</v>
      </c>
      <c r="M20" s="50">
        <f t="shared" si="2"/>
        <v>0</v>
      </c>
      <c r="N20" s="33" t="e">
        <f>INDEX(Data!C:C,MATCH(F16,Data!B:B,0))</f>
        <v>#N/A</v>
      </c>
      <c r="O20" s="51" t="e">
        <f t="shared" si="3"/>
        <v>#N/A</v>
      </c>
    </row>
    <row r="21" spans="1:15" ht="44.45" customHeight="1" x14ac:dyDescent="0.2">
      <c r="A21" s="36">
        <v>14</v>
      </c>
      <c r="B21" s="26" t="s">
        <v>93</v>
      </c>
      <c r="C21" s="27">
        <f>SUMIF(Data!E:E,B21,Data!F:F)</f>
        <v>60</v>
      </c>
      <c r="D21" s="28"/>
      <c r="E21" s="29" t="s">
        <v>14</v>
      </c>
      <c r="F21" s="30"/>
      <c r="G21" s="31"/>
      <c r="H21" s="32">
        <f t="shared" si="4"/>
        <v>0</v>
      </c>
      <c r="J21" s="47">
        <f t="shared" si="0"/>
        <v>0</v>
      </c>
      <c r="K21" s="48">
        <f>SUMIF(Data!E:E,'มหาชัย(2)'!B21,Data!F:F)*J21</f>
        <v>0</v>
      </c>
      <c r="L21" s="49">
        <f t="shared" si="1"/>
        <v>0</v>
      </c>
      <c r="M21" s="50">
        <f t="shared" si="2"/>
        <v>0</v>
      </c>
      <c r="N21" s="33" t="e">
        <f>INDEX(Data!C:C,MATCH(F17,Data!B:B,0))</f>
        <v>#N/A</v>
      </c>
      <c r="O21" s="51" t="e">
        <f t="shared" si="3"/>
        <v>#N/A</v>
      </c>
    </row>
    <row r="22" spans="1:15" ht="44.45" customHeight="1" x14ac:dyDescent="0.2">
      <c r="A22" s="36">
        <v>15</v>
      </c>
      <c r="B22" s="26" t="s">
        <v>94</v>
      </c>
      <c r="C22" s="27">
        <f>SUMIF(Data!E:E,B22,Data!F:F)</f>
        <v>55</v>
      </c>
      <c r="D22" s="28"/>
      <c r="E22" s="29" t="s">
        <v>14</v>
      </c>
      <c r="F22" s="30"/>
      <c r="G22" s="31"/>
      <c r="H22" s="32">
        <f t="shared" si="4"/>
        <v>0</v>
      </c>
      <c r="J22" s="47">
        <f t="shared" si="0"/>
        <v>0</v>
      </c>
      <c r="K22" s="48">
        <f>SUMIF(Data!E:E,'มหาชัย(2)'!B22,Data!F:F)*J22</f>
        <v>0</v>
      </c>
      <c r="L22" s="49">
        <f t="shared" si="1"/>
        <v>0</v>
      </c>
      <c r="M22" s="50">
        <f t="shared" si="2"/>
        <v>0</v>
      </c>
      <c r="N22" s="33" t="e">
        <f>INDEX(Data!C:C,MATCH(F18,Data!B:B,0))</f>
        <v>#N/A</v>
      </c>
      <c r="O22" s="51" t="e">
        <f t="shared" si="3"/>
        <v>#N/A</v>
      </c>
    </row>
    <row r="23" spans="1:15" ht="44.45" customHeight="1" x14ac:dyDescent="0.2">
      <c r="A23" s="36">
        <v>16</v>
      </c>
      <c r="B23" s="26" t="s">
        <v>95</v>
      </c>
      <c r="C23" s="27">
        <f>SUMIF(Data!E:E,B23,Data!F:F)</f>
        <v>50</v>
      </c>
      <c r="D23" s="28"/>
      <c r="E23" s="29" t="s">
        <v>14</v>
      </c>
      <c r="F23" s="30"/>
      <c r="G23" s="31"/>
      <c r="H23" s="32">
        <f t="shared" si="4"/>
        <v>0</v>
      </c>
      <c r="J23" s="47">
        <f t="shared" si="0"/>
        <v>0</v>
      </c>
      <c r="K23" s="48">
        <f>SUMIF(Data!E:E,'มหาชัย(2)'!B23,Data!F:F)*J23</f>
        <v>0</v>
      </c>
      <c r="L23" s="49">
        <f t="shared" si="1"/>
        <v>0</v>
      </c>
      <c r="M23" s="50">
        <f t="shared" si="2"/>
        <v>0</v>
      </c>
      <c r="N23" s="33" t="e">
        <f>INDEX(Data!C:C,MATCH(F19,Data!B:B,0))</f>
        <v>#N/A</v>
      </c>
      <c r="O23" s="51" t="e">
        <f t="shared" si="3"/>
        <v>#N/A</v>
      </c>
    </row>
    <row r="24" spans="1:15" ht="44.45" customHeight="1" x14ac:dyDescent="0.2">
      <c r="A24" s="36">
        <v>17</v>
      </c>
      <c r="B24" s="26" t="s">
        <v>98</v>
      </c>
      <c r="C24" s="27">
        <f>SUMIF(Data!E:E,B24,Data!F:F)</f>
        <v>55</v>
      </c>
      <c r="D24" s="28"/>
      <c r="E24" s="29" t="s">
        <v>14</v>
      </c>
      <c r="F24" s="30"/>
      <c r="G24" s="31"/>
      <c r="H24" s="32">
        <f t="shared" si="4"/>
        <v>0</v>
      </c>
      <c r="J24" s="47">
        <f t="shared" si="0"/>
        <v>0</v>
      </c>
      <c r="K24" s="48">
        <f>SUMIF(Data!E:E,'มหาชัย(2)'!B24,Data!F:F)*J24</f>
        <v>0</v>
      </c>
      <c r="L24" s="49">
        <f t="shared" si="1"/>
        <v>0</v>
      </c>
      <c r="M24" s="50">
        <f t="shared" si="2"/>
        <v>0</v>
      </c>
      <c r="N24" s="33" t="e">
        <f>INDEX(Data!C:C,MATCH(F20,Data!B:B,0))</f>
        <v>#N/A</v>
      </c>
      <c r="O24" s="51" t="e">
        <f t="shared" si="3"/>
        <v>#N/A</v>
      </c>
    </row>
    <row r="25" spans="1:15" ht="44.45" customHeight="1" x14ac:dyDescent="0.2">
      <c r="A25" s="36">
        <v>18</v>
      </c>
      <c r="B25" s="26" t="s">
        <v>99</v>
      </c>
      <c r="C25" s="27">
        <f>SUMIF(Data!E:E,B25,Data!F:F)</f>
        <v>55</v>
      </c>
      <c r="D25" s="28"/>
      <c r="E25" s="29" t="s">
        <v>14</v>
      </c>
      <c r="F25" s="30"/>
      <c r="G25" s="31"/>
      <c r="H25" s="32">
        <f t="shared" si="4"/>
        <v>0</v>
      </c>
      <c r="J25" s="47">
        <f t="shared" si="0"/>
        <v>0</v>
      </c>
      <c r="K25" s="48">
        <f>SUMIF(Data!E:E,'มหาชัย(2)'!B25,Data!F:F)*J25</f>
        <v>0</v>
      </c>
      <c r="L25" s="49">
        <f t="shared" si="1"/>
        <v>0</v>
      </c>
      <c r="M25" s="50">
        <f t="shared" si="2"/>
        <v>0</v>
      </c>
      <c r="N25" s="33" t="e">
        <f>INDEX(Data!C:C,MATCH(F21,Data!B:B,0))</f>
        <v>#N/A</v>
      </c>
      <c r="O25" s="51" t="e">
        <f t="shared" si="3"/>
        <v>#N/A</v>
      </c>
    </row>
    <row r="26" spans="1:15" ht="44.45" customHeight="1" x14ac:dyDescent="0.2">
      <c r="A26" s="36">
        <v>19</v>
      </c>
      <c r="B26" s="26" t="s">
        <v>100</v>
      </c>
      <c r="C26" s="27">
        <f>SUMIF(Data!E:E,B26,Data!F:F)</f>
        <v>81</v>
      </c>
      <c r="D26" s="28"/>
      <c r="E26" s="29" t="s">
        <v>14</v>
      </c>
      <c r="F26" s="30"/>
      <c r="G26" s="31"/>
      <c r="H26" s="32">
        <f t="shared" si="4"/>
        <v>0</v>
      </c>
      <c r="J26" s="47">
        <f t="shared" si="0"/>
        <v>0</v>
      </c>
      <c r="K26" s="48">
        <f>SUMIF(Data!E:E,'มหาชัย(2)'!B26,Data!F:F)*J26</f>
        <v>0</v>
      </c>
      <c r="L26" s="49">
        <f t="shared" si="1"/>
        <v>0</v>
      </c>
      <c r="M26" s="50">
        <f t="shared" si="2"/>
        <v>0</v>
      </c>
      <c r="N26" s="33" t="e">
        <f>INDEX(Data!C:C,MATCH(F22,Data!B:B,0))</f>
        <v>#N/A</v>
      </c>
      <c r="O26" s="51" t="e">
        <f t="shared" si="3"/>
        <v>#N/A</v>
      </c>
    </row>
    <row r="27" spans="1:15" ht="54.6" customHeight="1" x14ac:dyDescent="0.2">
      <c r="A27" s="60" t="s">
        <v>5</v>
      </c>
      <c r="B27" s="60"/>
      <c r="C27" s="40"/>
      <c r="D27" s="41"/>
      <c r="E27" s="42"/>
      <c r="F27" s="42"/>
      <c r="G27" s="42"/>
      <c r="H27" s="1"/>
      <c r="J27" s="14" t="s">
        <v>39</v>
      </c>
      <c r="K27" s="14" t="s">
        <v>41</v>
      </c>
      <c r="L27" s="14" t="s">
        <v>57</v>
      </c>
    </row>
    <row r="28" spans="1:15" ht="20.100000000000001" customHeight="1" x14ac:dyDescent="0.2">
      <c r="J28" s="13">
        <f>SUM($J$8:$J$26)</f>
        <v>0</v>
      </c>
      <c r="K28" s="13">
        <f>SUM($L$8:$L$26)</f>
        <v>0</v>
      </c>
      <c r="L28" s="13">
        <f>SUM(J28:K28)</f>
        <v>0</v>
      </c>
    </row>
    <row r="29" spans="1:15" ht="20.100000000000001" customHeight="1" x14ac:dyDescent="0.2">
      <c r="L29" s="13"/>
    </row>
    <row r="30" spans="1:15" ht="61.5" customHeight="1" x14ac:dyDescent="0.25">
      <c r="A30" s="8"/>
      <c r="B30" s="9" t="s">
        <v>29</v>
      </c>
      <c r="C30" s="9"/>
      <c r="G30" s="8" t="s">
        <v>31</v>
      </c>
      <c r="K30" s="20" t="s">
        <v>72</v>
      </c>
      <c r="L30" s="22">
        <f>SUM('สำโรง(2):สำโรง(1)'!L28)</f>
        <v>0</v>
      </c>
      <c r="N30" s="8"/>
      <c r="O30" s="8"/>
    </row>
    <row r="31" spans="1:15" ht="61.5" customHeight="1" x14ac:dyDescent="0.25">
      <c r="A31" s="8"/>
      <c r="B31" s="8" t="s">
        <v>28</v>
      </c>
      <c r="C31" s="8"/>
      <c r="F31" s="8"/>
      <c r="G31" s="8" t="s">
        <v>32</v>
      </c>
      <c r="H31" s="8"/>
      <c r="K31" s="20" t="s">
        <v>73</v>
      </c>
      <c r="L31" s="22">
        <f>L30/200</f>
        <v>0</v>
      </c>
      <c r="N31" s="8"/>
      <c r="O31" s="8"/>
    </row>
    <row r="32" spans="1:15" ht="61.5" customHeight="1" x14ac:dyDescent="0.25">
      <c r="A32" s="8"/>
      <c r="B32" s="8" t="s">
        <v>30</v>
      </c>
      <c r="C32" s="8"/>
      <c r="F32" s="8"/>
      <c r="G32" s="8" t="s">
        <v>33</v>
      </c>
      <c r="H32" s="9"/>
      <c r="J32" s="11"/>
      <c r="L32" s="9"/>
      <c r="N32" s="9"/>
      <c r="O32" s="9"/>
    </row>
    <row r="33" ht="20.100000000000001" customHeight="1" x14ac:dyDescent="0.2"/>
    <row r="34" ht="20.100000000000001" customHeight="1" x14ac:dyDescent="0.2"/>
    <row r="35" ht="20.100000000000001" customHeight="1" x14ac:dyDescent="0.2"/>
    <row r="36" ht="20.100000000000001" customHeight="1" x14ac:dyDescent="0.2"/>
    <row r="37" ht="20.100000000000001" customHeight="1" x14ac:dyDescent="0.2"/>
    <row r="38" ht="20.100000000000001" customHeight="1" x14ac:dyDescent="0.2"/>
    <row r="39" ht="20.100000000000001" customHeight="1" x14ac:dyDescent="0.2"/>
    <row r="40" ht="20.100000000000001" customHeight="1" x14ac:dyDescent="0.2"/>
    <row r="41" ht="20.100000000000001" customHeight="1" x14ac:dyDescent="0.2"/>
  </sheetData>
  <mergeCells count="13">
    <mergeCell ref="A1:F2"/>
    <mergeCell ref="A3:H3"/>
    <mergeCell ref="D4:E4"/>
    <mergeCell ref="F4:H4"/>
    <mergeCell ref="A5:A6"/>
    <mergeCell ref="B5:B6"/>
    <mergeCell ref="D5:E5"/>
    <mergeCell ref="F5:H6"/>
    <mergeCell ref="J5:M5"/>
    <mergeCell ref="D6:E6"/>
    <mergeCell ref="J6:K6"/>
    <mergeCell ref="L6:M6"/>
    <mergeCell ref="A27:B27"/>
  </mergeCells>
  <conditionalFormatting sqref="H8:H26">
    <cfRule type="cellIs" dxfId="59" priority="5" operator="lessThan">
      <formula>-1</formula>
    </cfRule>
    <cfRule type="cellIs" dxfId="58" priority="6" operator="equal">
      <formula>"-"</formula>
    </cfRule>
  </conditionalFormatting>
  <conditionalFormatting sqref="J8:O26">
    <cfRule type="containsErrors" dxfId="57" priority="4">
      <formula>ISERROR(J8)</formula>
    </cfRule>
  </conditionalFormatting>
  <conditionalFormatting sqref="O8:O26">
    <cfRule type="cellIs" dxfId="56" priority="1" operator="lessThan">
      <formula>0</formula>
    </cfRule>
    <cfRule type="cellIs" dxfId="55" priority="2" operator="greaterThan">
      <formula>15</formula>
    </cfRule>
    <cfRule type="cellIs" dxfId="54" priority="3" operator="lessThan">
      <formula>16</formula>
    </cfRule>
  </conditionalFormatting>
  <pageMargins left="0.7" right="0.7" top="0.75" bottom="0.75" header="0.3" footer="0.3"/>
  <pageSetup paperSize="9" scale="38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DFD382E-760D-4520-8FAF-19595565E94E}">
          <x14:formula1>
            <xm:f>Data!$B$2:$B$22</xm:f>
          </x14:formula1>
          <xm:sqref>F4</xm:sqref>
        </x14:dataValidation>
        <x14:dataValidation type="list" allowBlank="1" showInputMessage="1" showErrorMessage="1" xr:uid="{B590B650-15DE-4911-8CFE-C4A4E36CA5B6}">
          <x14:formula1>
            <xm:f>Data!$G$2:$G$6</xm:f>
          </x14:formula1>
          <xm:sqref>E8:E26</xm:sqref>
        </x14:dataValidation>
        <x14:dataValidation type="list" allowBlank="1" showInputMessage="1" showErrorMessage="1" xr:uid="{EC5C4220-4019-4D7B-BAA3-03B531651157}">
          <x14:formula1>
            <xm:f>Data!$E$2:$E$37</xm:f>
          </x14:formula1>
          <xm:sqref>B8:B26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D79CA-5FD2-457C-8210-F202067B27E5}">
  <sheetPr>
    <tabColor rgb="FF92D050"/>
    <pageSetUpPr fitToPage="1"/>
  </sheetPr>
  <dimension ref="A1:O41"/>
  <sheetViews>
    <sheetView topLeftCell="A8" zoomScale="55" zoomScaleNormal="55" zoomScaleSheetLayoutView="50" workbookViewId="0">
      <selection activeCell="B26" sqref="B26"/>
    </sheetView>
  </sheetViews>
  <sheetFormatPr defaultRowHeight="14.25" x14ac:dyDescent="0.2"/>
  <cols>
    <col min="2" max="2" width="60.875" customWidth="1"/>
    <col min="3" max="3" width="9.375" customWidth="1"/>
    <col min="4" max="4" width="19.625" customWidth="1"/>
    <col min="5" max="5" width="10.375" customWidth="1"/>
    <col min="6" max="7" width="22.125" customWidth="1"/>
    <col min="8" max="8" width="20.875" customWidth="1"/>
    <col min="9" max="9" width="1.875" customWidth="1"/>
    <col min="10" max="13" width="13.875" customWidth="1"/>
    <col min="14" max="14" width="8.75" customWidth="1"/>
    <col min="15" max="15" width="18.125" customWidth="1"/>
  </cols>
  <sheetData>
    <row r="1" spans="1:15" ht="39.6" customHeight="1" x14ac:dyDescent="0.2">
      <c r="A1" s="61" t="s">
        <v>19</v>
      </c>
      <c r="B1" s="61"/>
      <c r="C1" s="61"/>
      <c r="D1" s="61"/>
      <c r="E1" s="61"/>
      <c r="F1" s="61"/>
      <c r="G1" s="6" t="s">
        <v>17</v>
      </c>
      <c r="H1" s="5" t="s">
        <v>58</v>
      </c>
    </row>
    <row r="2" spans="1:15" ht="40.5" customHeight="1" thickBot="1" x14ac:dyDescent="0.25">
      <c r="A2" s="62"/>
      <c r="B2" s="62"/>
      <c r="C2" s="62"/>
      <c r="D2" s="62"/>
      <c r="E2" s="62"/>
      <c r="F2" s="62"/>
      <c r="G2" s="6" t="s">
        <v>27</v>
      </c>
      <c r="H2" s="15"/>
    </row>
    <row r="3" spans="1:15" ht="48.6" customHeight="1" x14ac:dyDescent="0.2">
      <c r="A3" s="63" t="s">
        <v>1</v>
      </c>
      <c r="B3" s="64"/>
      <c r="C3" s="64"/>
      <c r="D3" s="64"/>
      <c r="E3" s="64"/>
      <c r="F3" s="64"/>
      <c r="G3" s="64"/>
      <c r="H3" s="65"/>
    </row>
    <row r="4" spans="1:15" ht="54.95" customHeight="1" x14ac:dyDescent="0.2">
      <c r="A4" s="33" t="s">
        <v>0</v>
      </c>
      <c r="B4" s="34" t="s">
        <v>21</v>
      </c>
      <c r="C4" s="35"/>
      <c r="D4" s="66" t="s">
        <v>6</v>
      </c>
      <c r="E4" s="66"/>
      <c r="F4" s="57" t="s">
        <v>35</v>
      </c>
      <c r="G4" s="57"/>
      <c r="H4" s="57"/>
    </row>
    <row r="5" spans="1:15" ht="30.95" customHeight="1" x14ac:dyDescent="0.2">
      <c r="A5" s="55" t="s">
        <v>2</v>
      </c>
      <c r="B5" s="67"/>
      <c r="C5" s="37"/>
      <c r="D5" s="55" t="s">
        <v>18</v>
      </c>
      <c r="E5" s="55"/>
      <c r="F5" s="68"/>
      <c r="G5" s="68"/>
      <c r="H5" s="68"/>
      <c r="J5" s="55" t="s">
        <v>38</v>
      </c>
      <c r="K5" s="55"/>
      <c r="L5" s="55"/>
      <c r="M5" s="55"/>
    </row>
    <row r="6" spans="1:15" ht="30.6" customHeight="1" x14ac:dyDescent="0.2">
      <c r="A6" s="55"/>
      <c r="B6" s="67"/>
      <c r="C6" s="37"/>
      <c r="D6" s="56"/>
      <c r="E6" s="57"/>
      <c r="F6" s="68"/>
      <c r="G6" s="68"/>
      <c r="H6" s="68"/>
      <c r="J6" s="58" t="s">
        <v>39</v>
      </c>
      <c r="K6" s="58"/>
      <c r="L6" s="59" t="s">
        <v>41</v>
      </c>
      <c r="M6" s="59"/>
    </row>
    <row r="7" spans="1:15" s="7" customFormat="1" ht="36.6" customHeight="1" x14ac:dyDescent="0.25">
      <c r="A7" s="38" t="s">
        <v>3</v>
      </c>
      <c r="B7" s="38" t="s">
        <v>4</v>
      </c>
      <c r="C7" s="38" t="s">
        <v>42</v>
      </c>
      <c r="D7" s="38" t="s">
        <v>11</v>
      </c>
      <c r="E7" s="38" t="s">
        <v>12</v>
      </c>
      <c r="F7" s="38" t="s">
        <v>9</v>
      </c>
      <c r="G7" s="38" t="s">
        <v>10</v>
      </c>
      <c r="H7" s="39" t="s">
        <v>24</v>
      </c>
      <c r="J7" s="43" t="s">
        <v>40</v>
      </c>
      <c r="K7" s="44" t="s">
        <v>14</v>
      </c>
      <c r="L7" s="45" t="s">
        <v>40</v>
      </c>
      <c r="M7" s="46" t="s">
        <v>14</v>
      </c>
      <c r="N7" s="42" t="s">
        <v>25</v>
      </c>
      <c r="O7" s="42" t="s">
        <v>26</v>
      </c>
    </row>
    <row r="8" spans="1:15" ht="44.45" customHeight="1" x14ac:dyDescent="0.2">
      <c r="A8" s="36">
        <v>1</v>
      </c>
      <c r="B8" s="26" t="s">
        <v>77</v>
      </c>
      <c r="C8" s="27">
        <f>SUMIF(Data!E:E,B8,Data!F:F)</f>
        <v>42</v>
      </c>
      <c r="D8" s="28"/>
      <c r="E8" s="29" t="s">
        <v>14</v>
      </c>
      <c r="F8" s="30"/>
      <c r="G8" s="31"/>
      <c r="H8" s="32">
        <f>+G8-$D$6</f>
        <v>0</v>
      </c>
      <c r="J8" s="47">
        <f t="shared" ref="J8:J26" si="0">ROUNDDOWN((D8/C8),0)</f>
        <v>0</v>
      </c>
      <c r="K8" s="48">
        <f>SUMIF(Data!E:E,'มหาชัย(2)'!B8,Data!F:F)*J8</f>
        <v>0</v>
      </c>
      <c r="L8" s="49">
        <f t="shared" ref="L8:L26" si="1">ROUNDUP((M8/C8),0)</f>
        <v>0</v>
      </c>
      <c r="M8" s="50">
        <f t="shared" ref="M8:M26" si="2">D8-K8</f>
        <v>0</v>
      </c>
      <c r="N8" s="33">
        <f>INDEX(Data!C:C,MATCH(F4,Data!B:B,0))</f>
        <v>60</v>
      </c>
      <c r="O8" s="51">
        <f t="shared" ref="O8:O26" si="3">H8-N8</f>
        <v>-60</v>
      </c>
    </row>
    <row r="9" spans="1:15" ht="44.45" customHeight="1" x14ac:dyDescent="0.2">
      <c r="A9" s="36">
        <v>2</v>
      </c>
      <c r="B9" s="26" t="s">
        <v>66</v>
      </c>
      <c r="C9" s="27">
        <f>SUMIF(Data!E:E,B9,Data!F:F)</f>
        <v>36</v>
      </c>
      <c r="D9" s="28"/>
      <c r="E9" s="29" t="s">
        <v>14</v>
      </c>
      <c r="F9" s="30"/>
      <c r="G9" s="31"/>
      <c r="H9" s="32">
        <f t="shared" ref="H9:H26" si="4">+G9-$D$6</f>
        <v>0</v>
      </c>
      <c r="J9" s="47">
        <f t="shared" si="0"/>
        <v>0</v>
      </c>
      <c r="K9" s="48">
        <f>SUMIF(Data!E:E,'มหาชัย(2)'!B9,Data!F:F)*J9</f>
        <v>0</v>
      </c>
      <c r="L9" s="49">
        <f t="shared" si="1"/>
        <v>0</v>
      </c>
      <c r="M9" s="50">
        <f t="shared" si="2"/>
        <v>0</v>
      </c>
      <c r="N9" s="33" t="e">
        <f>INDEX(Data!C:C,MATCH(F5,Data!B:B,0))</f>
        <v>#N/A</v>
      </c>
      <c r="O9" s="51" t="e">
        <f t="shared" si="3"/>
        <v>#N/A</v>
      </c>
    </row>
    <row r="10" spans="1:15" ht="44.45" customHeight="1" x14ac:dyDescent="0.2">
      <c r="A10" s="36">
        <v>3</v>
      </c>
      <c r="B10" s="26" t="s">
        <v>79</v>
      </c>
      <c r="C10" s="27">
        <f>SUMIF(Data!E:E,B10,Data!F:F)</f>
        <v>42</v>
      </c>
      <c r="D10" s="28"/>
      <c r="E10" s="29" t="s">
        <v>14</v>
      </c>
      <c r="F10" s="30"/>
      <c r="G10" s="31"/>
      <c r="H10" s="32">
        <f t="shared" si="4"/>
        <v>0</v>
      </c>
      <c r="J10" s="47">
        <f t="shared" si="0"/>
        <v>0</v>
      </c>
      <c r="K10" s="48">
        <f>SUMIF(Data!E:E,'มหาชัย(2)'!B10,Data!F:F)*J10</f>
        <v>0</v>
      </c>
      <c r="L10" s="49">
        <f t="shared" si="1"/>
        <v>0</v>
      </c>
      <c r="M10" s="50">
        <f t="shared" si="2"/>
        <v>0</v>
      </c>
      <c r="N10" s="33" t="e">
        <f>INDEX(Data!C:C,MATCH(F6,Data!B:B,0))</f>
        <v>#N/A</v>
      </c>
      <c r="O10" s="51" t="e">
        <f t="shared" si="3"/>
        <v>#N/A</v>
      </c>
    </row>
    <row r="11" spans="1:15" ht="44.45" customHeight="1" x14ac:dyDescent="0.2">
      <c r="A11" s="36">
        <v>4</v>
      </c>
      <c r="B11" s="26" t="s">
        <v>80</v>
      </c>
      <c r="C11" s="27">
        <f>SUMIF(Data!E:E,B11,Data!F:F)</f>
        <v>50</v>
      </c>
      <c r="D11" s="28"/>
      <c r="E11" s="29" t="s">
        <v>14</v>
      </c>
      <c r="F11" s="30"/>
      <c r="G11" s="31"/>
      <c r="H11" s="32">
        <f t="shared" si="4"/>
        <v>0</v>
      </c>
      <c r="J11" s="47">
        <f t="shared" si="0"/>
        <v>0</v>
      </c>
      <c r="K11" s="48">
        <f>SUMIF(Data!E:E,'มหาชัย(2)'!B11,Data!F:F)*J11</f>
        <v>0</v>
      </c>
      <c r="L11" s="49">
        <f t="shared" si="1"/>
        <v>0</v>
      </c>
      <c r="M11" s="50">
        <f t="shared" si="2"/>
        <v>0</v>
      </c>
      <c r="N11" s="33" t="e">
        <f>INDEX(Data!C:C,MATCH(F7,Data!B:B,0))</f>
        <v>#N/A</v>
      </c>
      <c r="O11" s="51" t="e">
        <f t="shared" si="3"/>
        <v>#N/A</v>
      </c>
    </row>
    <row r="12" spans="1:15" ht="44.45" customHeight="1" x14ac:dyDescent="0.2">
      <c r="A12" s="36">
        <v>5</v>
      </c>
      <c r="B12" s="26" t="s">
        <v>71</v>
      </c>
      <c r="C12" s="27">
        <f>SUMIF(Data!E:E,B12,Data!F:F)</f>
        <v>81</v>
      </c>
      <c r="D12" s="28"/>
      <c r="E12" s="29" t="s">
        <v>14</v>
      </c>
      <c r="F12" s="30"/>
      <c r="G12" s="31"/>
      <c r="H12" s="32">
        <f t="shared" si="4"/>
        <v>0</v>
      </c>
      <c r="J12" s="47">
        <f t="shared" si="0"/>
        <v>0</v>
      </c>
      <c r="K12" s="48">
        <f>SUMIF(Data!E:E,'มหาชัย(2)'!B12,Data!F:F)*J12</f>
        <v>0</v>
      </c>
      <c r="L12" s="49">
        <f t="shared" si="1"/>
        <v>0</v>
      </c>
      <c r="M12" s="50">
        <f t="shared" si="2"/>
        <v>0</v>
      </c>
      <c r="N12" s="33" t="e">
        <f>INDEX(Data!C:C,MATCH(F8,Data!B:B,0))</f>
        <v>#N/A</v>
      </c>
      <c r="O12" s="51" t="e">
        <f t="shared" si="3"/>
        <v>#N/A</v>
      </c>
    </row>
    <row r="13" spans="1:15" ht="44.45" customHeight="1" x14ac:dyDescent="0.2">
      <c r="A13" s="36">
        <v>6</v>
      </c>
      <c r="B13" s="26" t="s">
        <v>84</v>
      </c>
      <c r="C13" s="27">
        <f>SUMIF(Data!E:E,B13,Data!F:F)</f>
        <v>42</v>
      </c>
      <c r="D13" s="28"/>
      <c r="E13" s="29" t="s">
        <v>14</v>
      </c>
      <c r="F13" s="30"/>
      <c r="G13" s="31"/>
      <c r="H13" s="32">
        <f t="shared" si="4"/>
        <v>0</v>
      </c>
      <c r="J13" s="47">
        <f t="shared" si="0"/>
        <v>0</v>
      </c>
      <c r="K13" s="48">
        <f>SUMIF(Data!E:E,'มหาชัย(2)'!B13,Data!F:F)*J13</f>
        <v>0</v>
      </c>
      <c r="L13" s="49">
        <f t="shared" si="1"/>
        <v>0</v>
      </c>
      <c r="M13" s="50">
        <f t="shared" si="2"/>
        <v>0</v>
      </c>
      <c r="N13" s="33" t="e">
        <f>INDEX(Data!C:C,MATCH(F9,Data!B:B,0))</f>
        <v>#N/A</v>
      </c>
      <c r="O13" s="51" t="e">
        <f t="shared" si="3"/>
        <v>#N/A</v>
      </c>
    </row>
    <row r="14" spans="1:15" ht="44.45" customHeight="1" x14ac:dyDescent="0.2">
      <c r="A14" s="36">
        <v>7</v>
      </c>
      <c r="B14" s="26" t="s">
        <v>85</v>
      </c>
      <c r="C14" s="27">
        <f>SUMIF(Data!E:E,B14,Data!F:F)</f>
        <v>32</v>
      </c>
      <c r="D14" s="28"/>
      <c r="E14" s="29" t="s">
        <v>14</v>
      </c>
      <c r="F14" s="30"/>
      <c r="G14" s="31"/>
      <c r="H14" s="32">
        <f t="shared" si="4"/>
        <v>0</v>
      </c>
      <c r="J14" s="47">
        <f t="shared" si="0"/>
        <v>0</v>
      </c>
      <c r="K14" s="48">
        <f>SUMIF(Data!E:E,'มหาชัย(2)'!B14,Data!F:F)*J14</f>
        <v>0</v>
      </c>
      <c r="L14" s="49">
        <f t="shared" si="1"/>
        <v>0</v>
      </c>
      <c r="M14" s="50">
        <f t="shared" si="2"/>
        <v>0</v>
      </c>
      <c r="N14" s="33" t="e">
        <f>INDEX(Data!C:C,MATCH(F10,Data!B:B,0))</f>
        <v>#N/A</v>
      </c>
      <c r="O14" s="51" t="e">
        <f t="shared" si="3"/>
        <v>#N/A</v>
      </c>
    </row>
    <row r="15" spans="1:15" ht="44.45" customHeight="1" x14ac:dyDescent="0.2">
      <c r="A15" s="36">
        <v>8</v>
      </c>
      <c r="B15" s="26" t="s">
        <v>76</v>
      </c>
      <c r="C15" s="27">
        <f>SUMIF(Data!E:E,B15,Data!F:F)</f>
        <v>70</v>
      </c>
      <c r="D15" s="28"/>
      <c r="E15" s="29" t="s">
        <v>14</v>
      </c>
      <c r="F15" s="30"/>
      <c r="G15" s="31"/>
      <c r="H15" s="32">
        <f t="shared" si="4"/>
        <v>0</v>
      </c>
      <c r="J15" s="47">
        <f t="shared" si="0"/>
        <v>0</v>
      </c>
      <c r="K15" s="48">
        <f>SUMIF(Data!E:E,'มหาชัย(2)'!B15,Data!F:F)*J15</f>
        <v>0</v>
      </c>
      <c r="L15" s="49">
        <f t="shared" si="1"/>
        <v>0</v>
      </c>
      <c r="M15" s="50">
        <f t="shared" si="2"/>
        <v>0</v>
      </c>
      <c r="N15" s="33" t="e">
        <f>INDEX(Data!C:C,MATCH(F11,Data!B:B,0))</f>
        <v>#N/A</v>
      </c>
      <c r="O15" s="51" t="e">
        <f t="shared" si="3"/>
        <v>#N/A</v>
      </c>
    </row>
    <row r="16" spans="1:15" ht="44.45" customHeight="1" x14ac:dyDescent="0.2">
      <c r="A16" s="36">
        <v>9</v>
      </c>
      <c r="B16" s="26" t="s">
        <v>89</v>
      </c>
      <c r="C16" s="27">
        <f>SUMIF(Data!E:E,B16,Data!F:F)</f>
        <v>45</v>
      </c>
      <c r="D16" s="28"/>
      <c r="E16" s="29" t="s">
        <v>14</v>
      </c>
      <c r="F16" s="30"/>
      <c r="G16" s="31"/>
      <c r="H16" s="32">
        <f t="shared" si="4"/>
        <v>0</v>
      </c>
      <c r="J16" s="47">
        <f t="shared" si="0"/>
        <v>0</v>
      </c>
      <c r="K16" s="48">
        <f>SUMIF(Data!E:E,'มหาชัย(2)'!B16,Data!F:F)*J16</f>
        <v>0</v>
      </c>
      <c r="L16" s="49">
        <f t="shared" si="1"/>
        <v>0</v>
      </c>
      <c r="M16" s="50">
        <f t="shared" si="2"/>
        <v>0</v>
      </c>
      <c r="N16" s="33" t="e">
        <f>INDEX(Data!C:C,MATCH(F12,Data!B:B,0))</f>
        <v>#N/A</v>
      </c>
      <c r="O16" s="51" t="e">
        <f t="shared" si="3"/>
        <v>#N/A</v>
      </c>
    </row>
    <row r="17" spans="1:15" ht="44.45" customHeight="1" x14ac:dyDescent="0.2">
      <c r="A17" s="36">
        <v>10</v>
      </c>
      <c r="B17" s="26" t="s">
        <v>88</v>
      </c>
      <c r="C17" s="27">
        <f>SUMIF(Data!E:E,B17,Data!F:F)</f>
        <v>48</v>
      </c>
      <c r="D17" s="28"/>
      <c r="E17" s="29" t="s">
        <v>14</v>
      </c>
      <c r="F17" s="30"/>
      <c r="G17" s="31"/>
      <c r="H17" s="32">
        <f t="shared" si="4"/>
        <v>0</v>
      </c>
      <c r="J17" s="47">
        <f t="shared" si="0"/>
        <v>0</v>
      </c>
      <c r="K17" s="48">
        <f>SUMIF(Data!E:E,'มหาชัย(2)'!B17,Data!F:F)*J17</f>
        <v>0</v>
      </c>
      <c r="L17" s="49">
        <f t="shared" si="1"/>
        <v>0</v>
      </c>
      <c r="M17" s="50">
        <f t="shared" si="2"/>
        <v>0</v>
      </c>
      <c r="N17" s="33" t="e">
        <f>INDEX(Data!C:C,MATCH(F13,Data!B:B,0))</f>
        <v>#N/A</v>
      </c>
      <c r="O17" s="51" t="e">
        <f t="shared" si="3"/>
        <v>#N/A</v>
      </c>
    </row>
    <row r="18" spans="1:15" ht="44.45" customHeight="1" x14ac:dyDescent="0.2">
      <c r="A18" s="36">
        <v>11</v>
      </c>
      <c r="B18" s="26" t="s">
        <v>87</v>
      </c>
      <c r="C18" s="27">
        <f>SUMIF(Data!E:E,B18,Data!F:F)</f>
        <v>48</v>
      </c>
      <c r="D18" s="28"/>
      <c r="E18" s="29" t="s">
        <v>14</v>
      </c>
      <c r="F18" s="30"/>
      <c r="G18" s="31"/>
      <c r="H18" s="32">
        <f t="shared" si="4"/>
        <v>0</v>
      </c>
      <c r="J18" s="47">
        <f t="shared" si="0"/>
        <v>0</v>
      </c>
      <c r="K18" s="48">
        <f>SUMIF(Data!E:E,'มหาชัย(2)'!B18,Data!F:F)*J18</f>
        <v>0</v>
      </c>
      <c r="L18" s="49">
        <f t="shared" si="1"/>
        <v>0</v>
      </c>
      <c r="M18" s="50">
        <f t="shared" si="2"/>
        <v>0</v>
      </c>
      <c r="N18" s="33" t="e">
        <f>INDEX(Data!C:C,MATCH(F14,Data!B:B,0))</f>
        <v>#N/A</v>
      </c>
      <c r="O18" s="51" t="e">
        <f t="shared" si="3"/>
        <v>#N/A</v>
      </c>
    </row>
    <row r="19" spans="1:15" ht="44.45" customHeight="1" x14ac:dyDescent="0.2">
      <c r="A19" s="36">
        <v>12</v>
      </c>
      <c r="B19" s="26" t="s">
        <v>90</v>
      </c>
      <c r="C19" s="27">
        <f>SUMIF(Data!E:E,B19,Data!F:F)</f>
        <v>60</v>
      </c>
      <c r="D19" s="28"/>
      <c r="E19" s="29" t="s">
        <v>14</v>
      </c>
      <c r="F19" s="30"/>
      <c r="G19" s="31"/>
      <c r="H19" s="32">
        <f t="shared" si="4"/>
        <v>0</v>
      </c>
      <c r="J19" s="47">
        <f t="shared" si="0"/>
        <v>0</v>
      </c>
      <c r="K19" s="48">
        <f>SUMIF(Data!E:E,'มหาชัย(2)'!B19,Data!F:F)*J19</f>
        <v>0</v>
      </c>
      <c r="L19" s="49">
        <f t="shared" si="1"/>
        <v>0</v>
      </c>
      <c r="M19" s="50">
        <f t="shared" si="2"/>
        <v>0</v>
      </c>
      <c r="N19" s="33" t="e">
        <f>INDEX(Data!C:C,MATCH(F15,Data!B:B,0))</f>
        <v>#N/A</v>
      </c>
      <c r="O19" s="51" t="e">
        <f t="shared" si="3"/>
        <v>#N/A</v>
      </c>
    </row>
    <row r="20" spans="1:15" ht="44.45" customHeight="1" x14ac:dyDescent="0.2">
      <c r="A20" s="36">
        <v>13</v>
      </c>
      <c r="B20" s="26" t="s">
        <v>91</v>
      </c>
      <c r="C20" s="27">
        <f>SUMIF(Data!E:E,B20,Data!F:F)</f>
        <v>50</v>
      </c>
      <c r="D20" s="28"/>
      <c r="E20" s="29" t="s">
        <v>14</v>
      </c>
      <c r="F20" s="30"/>
      <c r="G20" s="31"/>
      <c r="H20" s="32">
        <f t="shared" si="4"/>
        <v>0</v>
      </c>
      <c r="J20" s="47">
        <f t="shared" si="0"/>
        <v>0</v>
      </c>
      <c r="K20" s="48">
        <f>SUMIF(Data!E:E,'มหาชัย(2)'!B20,Data!F:F)*J20</f>
        <v>0</v>
      </c>
      <c r="L20" s="49">
        <f t="shared" si="1"/>
        <v>0</v>
      </c>
      <c r="M20" s="50">
        <f t="shared" si="2"/>
        <v>0</v>
      </c>
      <c r="N20" s="33" t="e">
        <f>INDEX(Data!C:C,MATCH(F16,Data!B:B,0))</f>
        <v>#N/A</v>
      </c>
      <c r="O20" s="51" t="e">
        <f t="shared" si="3"/>
        <v>#N/A</v>
      </c>
    </row>
    <row r="21" spans="1:15" ht="44.45" customHeight="1" x14ac:dyDescent="0.2">
      <c r="A21" s="36">
        <v>14</v>
      </c>
      <c r="B21" s="26" t="s">
        <v>93</v>
      </c>
      <c r="C21" s="27">
        <f>SUMIF(Data!E:E,B21,Data!F:F)</f>
        <v>60</v>
      </c>
      <c r="D21" s="28"/>
      <c r="E21" s="29" t="s">
        <v>14</v>
      </c>
      <c r="F21" s="30"/>
      <c r="G21" s="31"/>
      <c r="H21" s="32">
        <f t="shared" si="4"/>
        <v>0</v>
      </c>
      <c r="J21" s="47">
        <f t="shared" si="0"/>
        <v>0</v>
      </c>
      <c r="K21" s="48">
        <f>SUMIF(Data!E:E,'มหาชัย(2)'!B21,Data!F:F)*J21</f>
        <v>0</v>
      </c>
      <c r="L21" s="49">
        <f t="shared" si="1"/>
        <v>0</v>
      </c>
      <c r="M21" s="50">
        <f t="shared" si="2"/>
        <v>0</v>
      </c>
      <c r="N21" s="33" t="e">
        <f>INDEX(Data!C:C,MATCH(F17,Data!B:B,0))</f>
        <v>#N/A</v>
      </c>
      <c r="O21" s="51" t="e">
        <f t="shared" si="3"/>
        <v>#N/A</v>
      </c>
    </row>
    <row r="22" spans="1:15" ht="44.45" customHeight="1" x14ac:dyDescent="0.2">
      <c r="A22" s="36">
        <v>15</v>
      </c>
      <c r="B22" s="26" t="s">
        <v>94</v>
      </c>
      <c r="C22" s="27">
        <f>SUMIF(Data!E:E,B22,Data!F:F)</f>
        <v>55</v>
      </c>
      <c r="D22" s="28"/>
      <c r="E22" s="29" t="s">
        <v>14</v>
      </c>
      <c r="F22" s="30"/>
      <c r="G22" s="31"/>
      <c r="H22" s="32">
        <f t="shared" si="4"/>
        <v>0</v>
      </c>
      <c r="J22" s="47">
        <f t="shared" si="0"/>
        <v>0</v>
      </c>
      <c r="K22" s="48">
        <f>SUMIF(Data!E:E,'มหาชัย(2)'!B22,Data!F:F)*J22</f>
        <v>0</v>
      </c>
      <c r="L22" s="49">
        <f t="shared" si="1"/>
        <v>0</v>
      </c>
      <c r="M22" s="50">
        <f t="shared" si="2"/>
        <v>0</v>
      </c>
      <c r="N22" s="33" t="e">
        <f>INDEX(Data!C:C,MATCH(F18,Data!B:B,0))</f>
        <v>#N/A</v>
      </c>
      <c r="O22" s="51" t="e">
        <f t="shared" si="3"/>
        <v>#N/A</v>
      </c>
    </row>
    <row r="23" spans="1:15" ht="44.45" customHeight="1" x14ac:dyDescent="0.2">
      <c r="A23" s="36">
        <v>16</v>
      </c>
      <c r="B23" s="26" t="s">
        <v>95</v>
      </c>
      <c r="C23" s="27">
        <f>SUMIF(Data!E:E,B23,Data!F:F)</f>
        <v>50</v>
      </c>
      <c r="D23" s="28"/>
      <c r="E23" s="29" t="s">
        <v>14</v>
      </c>
      <c r="F23" s="30"/>
      <c r="G23" s="31"/>
      <c r="H23" s="32">
        <f t="shared" si="4"/>
        <v>0</v>
      </c>
      <c r="J23" s="47">
        <f t="shared" si="0"/>
        <v>0</v>
      </c>
      <c r="K23" s="48">
        <f>SUMIF(Data!E:E,'มหาชัย(2)'!B23,Data!F:F)*J23</f>
        <v>0</v>
      </c>
      <c r="L23" s="49">
        <f t="shared" si="1"/>
        <v>0</v>
      </c>
      <c r="M23" s="50">
        <f t="shared" si="2"/>
        <v>0</v>
      </c>
      <c r="N23" s="33" t="e">
        <f>INDEX(Data!C:C,MATCH(F19,Data!B:B,0))</f>
        <v>#N/A</v>
      </c>
      <c r="O23" s="51" t="e">
        <f t="shared" si="3"/>
        <v>#N/A</v>
      </c>
    </row>
    <row r="24" spans="1:15" ht="44.45" customHeight="1" x14ac:dyDescent="0.2">
      <c r="A24" s="36">
        <v>17</v>
      </c>
      <c r="B24" s="26" t="s">
        <v>98</v>
      </c>
      <c r="C24" s="27">
        <f>SUMIF(Data!E:E,B24,Data!F:F)</f>
        <v>55</v>
      </c>
      <c r="D24" s="28"/>
      <c r="E24" s="29" t="s">
        <v>14</v>
      </c>
      <c r="F24" s="30"/>
      <c r="G24" s="31"/>
      <c r="H24" s="32">
        <f t="shared" si="4"/>
        <v>0</v>
      </c>
      <c r="J24" s="47">
        <f t="shared" si="0"/>
        <v>0</v>
      </c>
      <c r="K24" s="48">
        <f>SUMIF(Data!E:E,'มหาชัย(2)'!B24,Data!F:F)*J24</f>
        <v>0</v>
      </c>
      <c r="L24" s="49">
        <f t="shared" si="1"/>
        <v>0</v>
      </c>
      <c r="M24" s="50">
        <f t="shared" si="2"/>
        <v>0</v>
      </c>
      <c r="N24" s="33" t="e">
        <f>INDEX(Data!C:C,MATCH(F20,Data!B:B,0))</f>
        <v>#N/A</v>
      </c>
      <c r="O24" s="51" t="e">
        <f t="shared" si="3"/>
        <v>#N/A</v>
      </c>
    </row>
    <row r="25" spans="1:15" ht="44.45" customHeight="1" x14ac:dyDescent="0.2">
      <c r="A25" s="36">
        <v>18</v>
      </c>
      <c r="B25" s="26" t="s">
        <v>99</v>
      </c>
      <c r="C25" s="27">
        <f>SUMIF(Data!E:E,B25,Data!F:F)</f>
        <v>55</v>
      </c>
      <c r="D25" s="28"/>
      <c r="E25" s="29" t="s">
        <v>14</v>
      </c>
      <c r="F25" s="30"/>
      <c r="G25" s="31"/>
      <c r="H25" s="32">
        <f t="shared" si="4"/>
        <v>0</v>
      </c>
      <c r="J25" s="47">
        <f t="shared" si="0"/>
        <v>0</v>
      </c>
      <c r="K25" s="48">
        <f>SUMIF(Data!E:E,'มหาชัย(2)'!B25,Data!F:F)*J25</f>
        <v>0</v>
      </c>
      <c r="L25" s="49">
        <f t="shared" si="1"/>
        <v>0</v>
      </c>
      <c r="M25" s="50">
        <f t="shared" si="2"/>
        <v>0</v>
      </c>
      <c r="N25" s="33" t="e">
        <f>INDEX(Data!C:C,MATCH(F21,Data!B:B,0))</f>
        <v>#N/A</v>
      </c>
      <c r="O25" s="51" t="e">
        <f t="shared" si="3"/>
        <v>#N/A</v>
      </c>
    </row>
    <row r="26" spans="1:15" ht="44.45" customHeight="1" x14ac:dyDescent="0.2">
      <c r="A26" s="36">
        <v>19</v>
      </c>
      <c r="B26" s="26" t="s">
        <v>100</v>
      </c>
      <c r="C26" s="27">
        <f>SUMIF(Data!E:E,B26,Data!F:F)</f>
        <v>81</v>
      </c>
      <c r="D26" s="28"/>
      <c r="E26" s="29" t="s">
        <v>14</v>
      </c>
      <c r="F26" s="30"/>
      <c r="G26" s="31"/>
      <c r="H26" s="32">
        <f t="shared" si="4"/>
        <v>0</v>
      </c>
      <c r="J26" s="47">
        <f t="shared" si="0"/>
        <v>0</v>
      </c>
      <c r="K26" s="48">
        <f>SUMIF(Data!E:E,'มหาชัย(2)'!B26,Data!F:F)*J26</f>
        <v>0</v>
      </c>
      <c r="L26" s="49">
        <f t="shared" si="1"/>
        <v>0</v>
      </c>
      <c r="M26" s="50">
        <f t="shared" si="2"/>
        <v>0</v>
      </c>
      <c r="N26" s="33" t="e">
        <f>INDEX(Data!C:C,MATCH(F22,Data!B:B,0))</f>
        <v>#N/A</v>
      </c>
      <c r="O26" s="51" t="e">
        <f t="shared" si="3"/>
        <v>#N/A</v>
      </c>
    </row>
    <row r="27" spans="1:15" ht="54.6" customHeight="1" x14ac:dyDescent="0.2">
      <c r="A27" s="60" t="s">
        <v>5</v>
      </c>
      <c r="B27" s="60"/>
      <c r="C27" s="40"/>
      <c r="D27" s="41"/>
      <c r="E27" s="42"/>
      <c r="F27" s="42"/>
      <c r="G27" s="42"/>
      <c r="H27" s="1"/>
      <c r="J27" s="14" t="s">
        <v>39</v>
      </c>
      <c r="K27" s="14" t="s">
        <v>41</v>
      </c>
      <c r="L27" s="14" t="s">
        <v>57</v>
      </c>
    </row>
    <row r="28" spans="1:15" ht="20.100000000000001" customHeight="1" x14ac:dyDescent="0.2">
      <c r="J28" s="13">
        <f>SUM($J$8:$J$26)</f>
        <v>0</v>
      </c>
      <c r="K28" s="13">
        <f>SUM($L$8:$L$26)</f>
        <v>0</v>
      </c>
      <c r="L28" s="13">
        <f>SUM(J28:K28)</f>
        <v>0</v>
      </c>
    </row>
    <row r="29" spans="1:15" ht="20.100000000000001" customHeight="1" x14ac:dyDescent="0.2">
      <c r="L29" s="13"/>
    </row>
    <row r="30" spans="1:15" ht="61.5" customHeight="1" x14ac:dyDescent="0.25">
      <c r="A30" s="8"/>
      <c r="B30" s="9" t="s">
        <v>29</v>
      </c>
      <c r="C30" s="9"/>
      <c r="G30" s="8" t="s">
        <v>31</v>
      </c>
      <c r="K30" s="11"/>
      <c r="L30" s="8"/>
      <c r="N30" s="8"/>
      <c r="O30" s="8"/>
    </row>
    <row r="31" spans="1:15" ht="61.5" customHeight="1" x14ac:dyDescent="0.25">
      <c r="A31" s="8"/>
      <c r="B31" s="8" t="s">
        <v>28</v>
      </c>
      <c r="C31" s="8"/>
      <c r="F31" s="8"/>
      <c r="G31" s="8" t="s">
        <v>32</v>
      </c>
      <c r="H31" s="8"/>
      <c r="K31" s="11"/>
      <c r="L31" s="8"/>
      <c r="N31" s="8"/>
      <c r="O31" s="8"/>
    </row>
    <row r="32" spans="1:15" ht="61.5" customHeight="1" x14ac:dyDescent="0.25">
      <c r="A32" s="8"/>
      <c r="B32" s="8" t="s">
        <v>30</v>
      </c>
      <c r="C32" s="8"/>
      <c r="F32" s="8"/>
      <c r="G32" s="8" t="s">
        <v>33</v>
      </c>
      <c r="H32" s="9"/>
      <c r="J32" s="11"/>
      <c r="L32" s="9"/>
      <c r="N32" s="9"/>
      <c r="O32" s="9"/>
    </row>
    <row r="33" ht="20.100000000000001" customHeight="1" x14ac:dyDescent="0.2"/>
    <row r="34" ht="20.100000000000001" customHeight="1" x14ac:dyDescent="0.2"/>
    <row r="35" ht="20.100000000000001" customHeight="1" x14ac:dyDescent="0.2"/>
    <row r="36" ht="20.100000000000001" customHeight="1" x14ac:dyDescent="0.2"/>
    <row r="37" ht="20.100000000000001" customHeight="1" x14ac:dyDescent="0.2"/>
    <row r="38" ht="20.100000000000001" customHeight="1" x14ac:dyDescent="0.2"/>
    <row r="39" ht="20.100000000000001" customHeight="1" x14ac:dyDescent="0.2"/>
    <row r="40" ht="20.100000000000001" customHeight="1" x14ac:dyDescent="0.2"/>
    <row r="41" ht="20.100000000000001" customHeight="1" x14ac:dyDescent="0.2"/>
  </sheetData>
  <mergeCells count="13">
    <mergeCell ref="A1:F2"/>
    <mergeCell ref="A3:H3"/>
    <mergeCell ref="D4:E4"/>
    <mergeCell ref="F4:H4"/>
    <mergeCell ref="A5:A6"/>
    <mergeCell ref="B5:B6"/>
    <mergeCell ref="D5:E5"/>
    <mergeCell ref="F5:H6"/>
    <mergeCell ref="J5:M5"/>
    <mergeCell ref="D6:E6"/>
    <mergeCell ref="J6:K6"/>
    <mergeCell ref="L6:M6"/>
    <mergeCell ref="A27:B27"/>
  </mergeCells>
  <conditionalFormatting sqref="H8:H26">
    <cfRule type="cellIs" dxfId="53" priority="5" operator="lessThan">
      <formula>-1</formula>
    </cfRule>
    <cfRule type="cellIs" dxfId="52" priority="6" operator="equal">
      <formula>"-"</formula>
    </cfRule>
  </conditionalFormatting>
  <conditionalFormatting sqref="J8:O26">
    <cfRule type="containsErrors" dxfId="51" priority="4">
      <formula>ISERROR(J8)</formula>
    </cfRule>
  </conditionalFormatting>
  <conditionalFormatting sqref="O8:O26">
    <cfRule type="cellIs" dxfId="50" priority="1" operator="lessThan">
      <formula>0</formula>
    </cfRule>
    <cfRule type="cellIs" dxfId="49" priority="2" operator="greaterThan">
      <formula>15</formula>
    </cfRule>
    <cfRule type="cellIs" dxfId="48" priority="3" operator="lessThan">
      <formula>16</formula>
    </cfRule>
  </conditionalFormatting>
  <pageMargins left="0.7" right="0.7" top="0.75" bottom="0.75" header="0.3" footer="0.3"/>
  <pageSetup paperSize="9" scale="38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3A2667A-70FB-40D6-A623-1726AF35EA9C}">
          <x14:formula1>
            <xm:f>Data!$B$2:$B$22</xm:f>
          </x14:formula1>
          <xm:sqref>F4</xm:sqref>
        </x14:dataValidation>
        <x14:dataValidation type="list" allowBlank="1" showInputMessage="1" showErrorMessage="1" xr:uid="{EE62746D-B85E-4716-A61F-03E3DB3C4120}">
          <x14:formula1>
            <xm:f>Data!$G$2:$G$6</xm:f>
          </x14:formula1>
          <xm:sqref>E8:E26</xm:sqref>
        </x14:dataValidation>
        <x14:dataValidation type="list" allowBlank="1" showInputMessage="1" showErrorMessage="1" xr:uid="{09682FC5-DD1E-4FC9-A8DF-4143ADA3251D}">
          <x14:formula1>
            <xm:f>Data!$E$2:$E$37</xm:f>
          </x14:formula1>
          <xm:sqref>B8:B26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4E579-C620-4CC1-AA44-FF7971CCF36A}">
  <sheetPr>
    <tabColor rgb="FF92D050"/>
    <pageSetUpPr fitToPage="1"/>
  </sheetPr>
  <dimension ref="A1:O41"/>
  <sheetViews>
    <sheetView topLeftCell="A10" zoomScale="55" zoomScaleNormal="55" zoomScaleSheetLayoutView="50" workbookViewId="0">
      <selection activeCell="L31" sqref="L31"/>
    </sheetView>
  </sheetViews>
  <sheetFormatPr defaultRowHeight="14.25" x14ac:dyDescent="0.2"/>
  <cols>
    <col min="2" max="2" width="60.875" customWidth="1"/>
    <col min="3" max="3" width="9.375" customWidth="1"/>
    <col min="4" max="4" width="19.625" customWidth="1"/>
    <col min="5" max="5" width="10.375" customWidth="1"/>
    <col min="6" max="7" width="22.125" customWidth="1"/>
    <col min="8" max="8" width="20.875" customWidth="1"/>
    <col min="9" max="9" width="1.875" customWidth="1"/>
    <col min="10" max="10" width="13.875" customWidth="1"/>
    <col min="11" max="11" width="25.125" bestFit="1" customWidth="1"/>
    <col min="12" max="13" width="13.875" customWidth="1"/>
    <col min="14" max="14" width="8.75" customWidth="1"/>
    <col min="15" max="15" width="18.125" customWidth="1"/>
  </cols>
  <sheetData>
    <row r="1" spans="1:15" ht="39.6" customHeight="1" x14ac:dyDescent="0.2">
      <c r="A1" s="61" t="s">
        <v>19</v>
      </c>
      <c r="B1" s="61"/>
      <c r="C1" s="61"/>
      <c r="D1" s="61"/>
      <c r="E1" s="61"/>
      <c r="F1" s="61"/>
      <c r="G1" s="6" t="s">
        <v>17</v>
      </c>
      <c r="H1" s="5" t="s">
        <v>58</v>
      </c>
    </row>
    <row r="2" spans="1:15" ht="40.5" customHeight="1" thickBot="1" x14ac:dyDescent="0.25">
      <c r="A2" s="62"/>
      <c r="B2" s="62"/>
      <c r="C2" s="62"/>
      <c r="D2" s="62"/>
      <c r="E2" s="62"/>
      <c r="F2" s="62"/>
      <c r="G2" s="6" t="s">
        <v>27</v>
      </c>
      <c r="H2" s="15"/>
    </row>
    <row r="3" spans="1:15" ht="48.6" customHeight="1" x14ac:dyDescent="0.2">
      <c r="A3" s="63" t="s">
        <v>1</v>
      </c>
      <c r="B3" s="64"/>
      <c r="C3" s="64"/>
      <c r="D3" s="64"/>
      <c r="E3" s="64"/>
      <c r="F3" s="64"/>
      <c r="G3" s="64"/>
      <c r="H3" s="65"/>
    </row>
    <row r="4" spans="1:15" ht="54.95" customHeight="1" x14ac:dyDescent="0.2">
      <c r="A4" s="33" t="s">
        <v>0</v>
      </c>
      <c r="B4" s="34" t="s">
        <v>21</v>
      </c>
      <c r="C4" s="35"/>
      <c r="D4" s="66" t="s">
        <v>6</v>
      </c>
      <c r="E4" s="66"/>
      <c r="F4" s="57" t="s">
        <v>56</v>
      </c>
      <c r="G4" s="57"/>
      <c r="H4" s="57"/>
    </row>
    <row r="5" spans="1:15" ht="30.95" customHeight="1" x14ac:dyDescent="0.2">
      <c r="A5" s="55" t="s">
        <v>2</v>
      </c>
      <c r="B5" s="67"/>
      <c r="C5" s="37"/>
      <c r="D5" s="55" t="s">
        <v>18</v>
      </c>
      <c r="E5" s="55"/>
      <c r="F5" s="68"/>
      <c r="G5" s="68"/>
      <c r="H5" s="68"/>
      <c r="J5" s="55" t="s">
        <v>38</v>
      </c>
      <c r="K5" s="55"/>
      <c r="L5" s="55"/>
      <c r="M5" s="55"/>
    </row>
    <row r="6" spans="1:15" ht="30.6" customHeight="1" x14ac:dyDescent="0.2">
      <c r="A6" s="55"/>
      <c r="B6" s="67"/>
      <c r="C6" s="37"/>
      <c r="D6" s="56"/>
      <c r="E6" s="57"/>
      <c r="F6" s="68"/>
      <c r="G6" s="68"/>
      <c r="H6" s="68"/>
      <c r="J6" s="58" t="s">
        <v>39</v>
      </c>
      <c r="K6" s="58"/>
      <c r="L6" s="59" t="s">
        <v>41</v>
      </c>
      <c r="M6" s="59"/>
    </row>
    <row r="7" spans="1:15" s="7" customFormat="1" ht="36.6" customHeight="1" x14ac:dyDescent="0.25">
      <c r="A7" s="38" t="s">
        <v>3</v>
      </c>
      <c r="B7" s="38" t="s">
        <v>4</v>
      </c>
      <c r="C7" s="38" t="s">
        <v>42</v>
      </c>
      <c r="D7" s="38" t="s">
        <v>11</v>
      </c>
      <c r="E7" s="38" t="s">
        <v>12</v>
      </c>
      <c r="F7" s="38" t="s">
        <v>9</v>
      </c>
      <c r="G7" s="38" t="s">
        <v>10</v>
      </c>
      <c r="H7" s="39" t="s">
        <v>24</v>
      </c>
      <c r="J7" s="43" t="s">
        <v>40</v>
      </c>
      <c r="K7" s="44" t="s">
        <v>14</v>
      </c>
      <c r="L7" s="45" t="s">
        <v>40</v>
      </c>
      <c r="M7" s="46" t="s">
        <v>14</v>
      </c>
      <c r="N7" s="42" t="s">
        <v>25</v>
      </c>
      <c r="O7" s="42" t="s">
        <v>26</v>
      </c>
    </row>
    <row r="8" spans="1:15" ht="44.45" customHeight="1" x14ac:dyDescent="0.2">
      <c r="A8" s="36">
        <v>1</v>
      </c>
      <c r="B8" s="26" t="s">
        <v>77</v>
      </c>
      <c r="C8" s="27">
        <f>SUMIF(Data!E:E,B8,Data!F:F)</f>
        <v>42</v>
      </c>
      <c r="D8" s="28"/>
      <c r="E8" s="29" t="s">
        <v>14</v>
      </c>
      <c r="F8" s="30"/>
      <c r="G8" s="31"/>
      <c r="H8" s="32">
        <f>+G8-$D$6</f>
        <v>0</v>
      </c>
      <c r="J8" s="47">
        <f t="shared" ref="J8:J26" si="0">ROUNDDOWN((D8/C8),0)</f>
        <v>0</v>
      </c>
      <c r="K8" s="48">
        <f>SUMIF(Data!E:E,'มหาชัย(2)'!B8,Data!F:F)*J8</f>
        <v>0</v>
      </c>
      <c r="L8" s="49">
        <f t="shared" ref="L8:L26" si="1">ROUNDUP((M8/C8),0)</f>
        <v>0</v>
      </c>
      <c r="M8" s="50">
        <f t="shared" ref="M8:M26" si="2">D8-K8</f>
        <v>0</v>
      </c>
      <c r="N8" s="33">
        <f>INDEX(Data!C:C,MATCH(F4,Data!B:B,0))</f>
        <v>60</v>
      </c>
      <c r="O8" s="51">
        <f t="shared" ref="O8:O26" si="3">H8-N8</f>
        <v>-60</v>
      </c>
    </row>
    <row r="9" spans="1:15" ht="44.45" customHeight="1" x14ac:dyDescent="0.2">
      <c r="A9" s="36">
        <v>2</v>
      </c>
      <c r="B9" s="26" t="s">
        <v>66</v>
      </c>
      <c r="C9" s="27">
        <f>SUMIF(Data!E:E,B9,Data!F:F)</f>
        <v>36</v>
      </c>
      <c r="D9" s="28"/>
      <c r="E9" s="29" t="s">
        <v>14</v>
      </c>
      <c r="F9" s="30"/>
      <c r="G9" s="31"/>
      <c r="H9" s="32">
        <f t="shared" ref="H9:H26" si="4">+G9-$D$6</f>
        <v>0</v>
      </c>
      <c r="J9" s="47">
        <f t="shared" si="0"/>
        <v>0</v>
      </c>
      <c r="K9" s="48">
        <f>SUMIF(Data!E:E,'มหาชัย(2)'!B9,Data!F:F)*J9</f>
        <v>0</v>
      </c>
      <c r="L9" s="49">
        <f t="shared" si="1"/>
        <v>0</v>
      </c>
      <c r="M9" s="50">
        <f t="shared" si="2"/>
        <v>0</v>
      </c>
      <c r="N9" s="33" t="e">
        <f>INDEX(Data!C:C,MATCH(F5,Data!B:B,0))</f>
        <v>#N/A</v>
      </c>
      <c r="O9" s="51" t="e">
        <f t="shared" si="3"/>
        <v>#N/A</v>
      </c>
    </row>
    <row r="10" spans="1:15" ht="44.45" customHeight="1" x14ac:dyDescent="0.2">
      <c r="A10" s="36">
        <v>3</v>
      </c>
      <c r="B10" s="26" t="s">
        <v>79</v>
      </c>
      <c r="C10" s="27">
        <f>SUMIF(Data!E:E,B10,Data!F:F)</f>
        <v>42</v>
      </c>
      <c r="D10" s="28"/>
      <c r="E10" s="29" t="s">
        <v>14</v>
      </c>
      <c r="F10" s="30"/>
      <c r="G10" s="31"/>
      <c r="H10" s="32">
        <f t="shared" si="4"/>
        <v>0</v>
      </c>
      <c r="J10" s="47">
        <f t="shared" si="0"/>
        <v>0</v>
      </c>
      <c r="K10" s="48">
        <f>SUMIF(Data!E:E,'มหาชัย(2)'!B10,Data!F:F)*J10</f>
        <v>0</v>
      </c>
      <c r="L10" s="49">
        <f t="shared" si="1"/>
        <v>0</v>
      </c>
      <c r="M10" s="50">
        <f t="shared" si="2"/>
        <v>0</v>
      </c>
      <c r="N10" s="33" t="e">
        <f>INDEX(Data!C:C,MATCH(F6,Data!B:B,0))</f>
        <v>#N/A</v>
      </c>
      <c r="O10" s="51" t="e">
        <f t="shared" si="3"/>
        <v>#N/A</v>
      </c>
    </row>
    <row r="11" spans="1:15" ht="44.45" customHeight="1" x14ac:dyDescent="0.2">
      <c r="A11" s="36">
        <v>4</v>
      </c>
      <c r="B11" s="26" t="s">
        <v>80</v>
      </c>
      <c r="C11" s="27">
        <f>SUMIF(Data!E:E,B11,Data!F:F)</f>
        <v>50</v>
      </c>
      <c r="D11" s="28"/>
      <c r="E11" s="29" t="s">
        <v>14</v>
      </c>
      <c r="F11" s="30"/>
      <c r="G11" s="31"/>
      <c r="H11" s="32">
        <f t="shared" si="4"/>
        <v>0</v>
      </c>
      <c r="J11" s="47">
        <f t="shared" si="0"/>
        <v>0</v>
      </c>
      <c r="K11" s="48">
        <f>SUMIF(Data!E:E,'มหาชัย(2)'!B11,Data!F:F)*J11</f>
        <v>0</v>
      </c>
      <c r="L11" s="49">
        <f t="shared" si="1"/>
        <v>0</v>
      </c>
      <c r="M11" s="50">
        <f t="shared" si="2"/>
        <v>0</v>
      </c>
      <c r="N11" s="33" t="e">
        <f>INDEX(Data!C:C,MATCH(F7,Data!B:B,0))</f>
        <v>#N/A</v>
      </c>
      <c r="O11" s="51" t="e">
        <f t="shared" si="3"/>
        <v>#N/A</v>
      </c>
    </row>
    <row r="12" spans="1:15" ht="44.45" customHeight="1" x14ac:dyDescent="0.2">
      <c r="A12" s="36">
        <v>5</v>
      </c>
      <c r="B12" s="26" t="s">
        <v>71</v>
      </c>
      <c r="C12" s="27">
        <f>SUMIF(Data!E:E,B12,Data!F:F)</f>
        <v>81</v>
      </c>
      <c r="D12" s="28"/>
      <c r="E12" s="29" t="s">
        <v>14</v>
      </c>
      <c r="F12" s="30"/>
      <c r="G12" s="31"/>
      <c r="H12" s="32">
        <f t="shared" si="4"/>
        <v>0</v>
      </c>
      <c r="J12" s="47">
        <f t="shared" si="0"/>
        <v>0</v>
      </c>
      <c r="K12" s="48">
        <f>SUMIF(Data!E:E,'มหาชัย(2)'!B12,Data!F:F)*J12</f>
        <v>0</v>
      </c>
      <c r="L12" s="49">
        <f t="shared" si="1"/>
        <v>0</v>
      </c>
      <c r="M12" s="50">
        <f t="shared" si="2"/>
        <v>0</v>
      </c>
      <c r="N12" s="33" t="e">
        <f>INDEX(Data!C:C,MATCH(F8,Data!B:B,0))</f>
        <v>#N/A</v>
      </c>
      <c r="O12" s="51" t="e">
        <f t="shared" si="3"/>
        <v>#N/A</v>
      </c>
    </row>
    <row r="13" spans="1:15" ht="44.45" customHeight="1" x14ac:dyDescent="0.2">
      <c r="A13" s="36">
        <v>6</v>
      </c>
      <c r="B13" s="26" t="s">
        <v>84</v>
      </c>
      <c r="C13" s="27">
        <f>SUMIF(Data!E:E,B13,Data!F:F)</f>
        <v>42</v>
      </c>
      <c r="D13" s="28"/>
      <c r="E13" s="29" t="s">
        <v>14</v>
      </c>
      <c r="F13" s="30"/>
      <c r="G13" s="31"/>
      <c r="H13" s="32">
        <f t="shared" si="4"/>
        <v>0</v>
      </c>
      <c r="J13" s="47">
        <f t="shared" si="0"/>
        <v>0</v>
      </c>
      <c r="K13" s="48">
        <f>SUMIF(Data!E:E,'มหาชัย(2)'!B13,Data!F:F)*J13</f>
        <v>0</v>
      </c>
      <c r="L13" s="49">
        <f t="shared" si="1"/>
        <v>0</v>
      </c>
      <c r="M13" s="50">
        <f t="shared" si="2"/>
        <v>0</v>
      </c>
      <c r="N13" s="33" t="e">
        <f>INDEX(Data!C:C,MATCH(F9,Data!B:B,0))</f>
        <v>#N/A</v>
      </c>
      <c r="O13" s="51" t="e">
        <f t="shared" si="3"/>
        <v>#N/A</v>
      </c>
    </row>
    <row r="14" spans="1:15" ht="44.45" customHeight="1" x14ac:dyDescent="0.2">
      <c r="A14" s="36">
        <v>7</v>
      </c>
      <c r="B14" s="26" t="s">
        <v>85</v>
      </c>
      <c r="C14" s="27">
        <f>SUMIF(Data!E:E,B14,Data!F:F)</f>
        <v>32</v>
      </c>
      <c r="D14" s="28"/>
      <c r="E14" s="29" t="s">
        <v>14</v>
      </c>
      <c r="F14" s="30"/>
      <c r="G14" s="31"/>
      <c r="H14" s="32">
        <f t="shared" si="4"/>
        <v>0</v>
      </c>
      <c r="J14" s="47">
        <f t="shared" si="0"/>
        <v>0</v>
      </c>
      <c r="K14" s="48">
        <f>SUMIF(Data!E:E,'มหาชัย(2)'!B14,Data!F:F)*J14</f>
        <v>0</v>
      </c>
      <c r="L14" s="49">
        <f t="shared" si="1"/>
        <v>0</v>
      </c>
      <c r="M14" s="50">
        <f t="shared" si="2"/>
        <v>0</v>
      </c>
      <c r="N14" s="33" t="e">
        <f>INDEX(Data!C:C,MATCH(F10,Data!B:B,0))</f>
        <v>#N/A</v>
      </c>
      <c r="O14" s="51" t="e">
        <f t="shared" si="3"/>
        <v>#N/A</v>
      </c>
    </row>
    <row r="15" spans="1:15" ht="44.45" customHeight="1" x14ac:dyDescent="0.2">
      <c r="A15" s="36">
        <v>8</v>
      </c>
      <c r="B15" s="26" t="s">
        <v>76</v>
      </c>
      <c r="C15" s="27">
        <f>SUMIF(Data!E:E,B15,Data!F:F)</f>
        <v>70</v>
      </c>
      <c r="D15" s="28"/>
      <c r="E15" s="29" t="s">
        <v>14</v>
      </c>
      <c r="F15" s="30"/>
      <c r="G15" s="31"/>
      <c r="H15" s="32">
        <f t="shared" si="4"/>
        <v>0</v>
      </c>
      <c r="J15" s="47">
        <f t="shared" si="0"/>
        <v>0</v>
      </c>
      <c r="K15" s="48">
        <f>SUMIF(Data!E:E,'มหาชัย(2)'!B15,Data!F:F)*J15</f>
        <v>0</v>
      </c>
      <c r="L15" s="49">
        <f t="shared" si="1"/>
        <v>0</v>
      </c>
      <c r="M15" s="50">
        <f t="shared" si="2"/>
        <v>0</v>
      </c>
      <c r="N15" s="33" t="e">
        <f>INDEX(Data!C:C,MATCH(F11,Data!B:B,0))</f>
        <v>#N/A</v>
      </c>
      <c r="O15" s="51" t="e">
        <f t="shared" si="3"/>
        <v>#N/A</v>
      </c>
    </row>
    <row r="16" spans="1:15" ht="44.45" customHeight="1" x14ac:dyDescent="0.2">
      <c r="A16" s="36">
        <v>9</v>
      </c>
      <c r="B16" s="26" t="s">
        <v>89</v>
      </c>
      <c r="C16" s="27">
        <f>SUMIF(Data!E:E,B16,Data!F:F)</f>
        <v>45</v>
      </c>
      <c r="D16" s="28"/>
      <c r="E16" s="29" t="s">
        <v>14</v>
      </c>
      <c r="F16" s="30"/>
      <c r="G16" s="31"/>
      <c r="H16" s="32">
        <f t="shared" si="4"/>
        <v>0</v>
      </c>
      <c r="J16" s="47">
        <f t="shared" si="0"/>
        <v>0</v>
      </c>
      <c r="K16" s="48">
        <f>SUMIF(Data!E:E,'มหาชัย(2)'!B16,Data!F:F)*J16</f>
        <v>0</v>
      </c>
      <c r="L16" s="49">
        <f t="shared" si="1"/>
        <v>0</v>
      </c>
      <c r="M16" s="50">
        <f t="shared" si="2"/>
        <v>0</v>
      </c>
      <c r="N16" s="33" t="e">
        <f>INDEX(Data!C:C,MATCH(F12,Data!B:B,0))</f>
        <v>#N/A</v>
      </c>
      <c r="O16" s="51" t="e">
        <f t="shared" si="3"/>
        <v>#N/A</v>
      </c>
    </row>
    <row r="17" spans="1:15" ht="44.45" customHeight="1" x14ac:dyDescent="0.2">
      <c r="A17" s="36">
        <v>10</v>
      </c>
      <c r="B17" s="26" t="s">
        <v>88</v>
      </c>
      <c r="C17" s="27">
        <f>SUMIF(Data!E:E,B17,Data!F:F)</f>
        <v>48</v>
      </c>
      <c r="D17" s="28"/>
      <c r="E17" s="29" t="s">
        <v>14</v>
      </c>
      <c r="F17" s="30"/>
      <c r="G17" s="31"/>
      <c r="H17" s="32">
        <f t="shared" si="4"/>
        <v>0</v>
      </c>
      <c r="J17" s="47">
        <f t="shared" si="0"/>
        <v>0</v>
      </c>
      <c r="K17" s="48">
        <f>SUMIF(Data!E:E,'มหาชัย(2)'!B17,Data!F:F)*J17</f>
        <v>0</v>
      </c>
      <c r="L17" s="49">
        <f t="shared" si="1"/>
        <v>0</v>
      </c>
      <c r="M17" s="50">
        <f t="shared" si="2"/>
        <v>0</v>
      </c>
      <c r="N17" s="33" t="e">
        <f>INDEX(Data!C:C,MATCH(F13,Data!B:B,0))</f>
        <v>#N/A</v>
      </c>
      <c r="O17" s="51" t="e">
        <f t="shared" si="3"/>
        <v>#N/A</v>
      </c>
    </row>
    <row r="18" spans="1:15" ht="44.45" customHeight="1" x14ac:dyDescent="0.2">
      <c r="A18" s="36">
        <v>11</v>
      </c>
      <c r="B18" s="26" t="s">
        <v>87</v>
      </c>
      <c r="C18" s="27">
        <f>SUMIF(Data!E:E,B18,Data!F:F)</f>
        <v>48</v>
      </c>
      <c r="D18" s="28"/>
      <c r="E18" s="29" t="s">
        <v>14</v>
      </c>
      <c r="F18" s="30"/>
      <c r="G18" s="31"/>
      <c r="H18" s="32">
        <f t="shared" si="4"/>
        <v>0</v>
      </c>
      <c r="J18" s="47">
        <f t="shared" si="0"/>
        <v>0</v>
      </c>
      <c r="K18" s="48">
        <f>SUMIF(Data!E:E,'มหาชัย(2)'!B18,Data!F:F)*J18</f>
        <v>0</v>
      </c>
      <c r="L18" s="49">
        <f t="shared" si="1"/>
        <v>0</v>
      </c>
      <c r="M18" s="50">
        <f t="shared" si="2"/>
        <v>0</v>
      </c>
      <c r="N18" s="33" t="e">
        <f>INDEX(Data!C:C,MATCH(F14,Data!B:B,0))</f>
        <v>#N/A</v>
      </c>
      <c r="O18" s="51" t="e">
        <f t="shared" si="3"/>
        <v>#N/A</v>
      </c>
    </row>
    <row r="19" spans="1:15" ht="44.45" customHeight="1" x14ac:dyDescent="0.2">
      <c r="A19" s="36">
        <v>12</v>
      </c>
      <c r="B19" s="26" t="s">
        <v>90</v>
      </c>
      <c r="C19" s="27">
        <f>SUMIF(Data!E:E,B19,Data!F:F)</f>
        <v>60</v>
      </c>
      <c r="D19" s="28"/>
      <c r="E19" s="29" t="s">
        <v>14</v>
      </c>
      <c r="F19" s="30"/>
      <c r="G19" s="31"/>
      <c r="H19" s="32">
        <f t="shared" si="4"/>
        <v>0</v>
      </c>
      <c r="J19" s="47">
        <f t="shared" si="0"/>
        <v>0</v>
      </c>
      <c r="K19" s="48">
        <f>SUMIF(Data!E:E,'มหาชัย(2)'!B19,Data!F:F)*J19</f>
        <v>0</v>
      </c>
      <c r="L19" s="49">
        <f t="shared" si="1"/>
        <v>0</v>
      </c>
      <c r="M19" s="50">
        <f t="shared" si="2"/>
        <v>0</v>
      </c>
      <c r="N19" s="33" t="e">
        <f>INDEX(Data!C:C,MATCH(F15,Data!B:B,0))</f>
        <v>#N/A</v>
      </c>
      <c r="O19" s="51" t="e">
        <f t="shared" si="3"/>
        <v>#N/A</v>
      </c>
    </row>
    <row r="20" spans="1:15" ht="44.45" customHeight="1" x14ac:dyDescent="0.2">
      <c r="A20" s="36">
        <v>13</v>
      </c>
      <c r="B20" s="26" t="s">
        <v>91</v>
      </c>
      <c r="C20" s="27">
        <f>SUMIF(Data!E:E,B20,Data!F:F)</f>
        <v>50</v>
      </c>
      <c r="D20" s="28"/>
      <c r="E20" s="29" t="s">
        <v>14</v>
      </c>
      <c r="F20" s="30"/>
      <c r="G20" s="31"/>
      <c r="H20" s="32">
        <f t="shared" si="4"/>
        <v>0</v>
      </c>
      <c r="J20" s="47">
        <f t="shared" si="0"/>
        <v>0</v>
      </c>
      <c r="K20" s="48">
        <f>SUMIF(Data!E:E,'มหาชัย(2)'!B20,Data!F:F)*J20</f>
        <v>0</v>
      </c>
      <c r="L20" s="49">
        <f t="shared" si="1"/>
        <v>0</v>
      </c>
      <c r="M20" s="50">
        <f t="shared" si="2"/>
        <v>0</v>
      </c>
      <c r="N20" s="33" t="e">
        <f>INDEX(Data!C:C,MATCH(F16,Data!B:B,0))</f>
        <v>#N/A</v>
      </c>
      <c r="O20" s="51" t="e">
        <f t="shared" si="3"/>
        <v>#N/A</v>
      </c>
    </row>
    <row r="21" spans="1:15" ht="44.45" customHeight="1" x14ac:dyDescent="0.2">
      <c r="A21" s="36">
        <v>14</v>
      </c>
      <c r="B21" s="26" t="s">
        <v>93</v>
      </c>
      <c r="C21" s="27">
        <f>SUMIF(Data!E:E,B21,Data!F:F)</f>
        <v>60</v>
      </c>
      <c r="D21" s="28"/>
      <c r="E21" s="29" t="s">
        <v>14</v>
      </c>
      <c r="F21" s="30"/>
      <c r="G21" s="31"/>
      <c r="H21" s="32">
        <f t="shared" si="4"/>
        <v>0</v>
      </c>
      <c r="J21" s="47">
        <f t="shared" si="0"/>
        <v>0</v>
      </c>
      <c r="K21" s="48">
        <f>SUMIF(Data!E:E,'มหาชัย(2)'!B21,Data!F:F)*J21</f>
        <v>0</v>
      </c>
      <c r="L21" s="49">
        <f t="shared" si="1"/>
        <v>0</v>
      </c>
      <c r="M21" s="50">
        <f t="shared" si="2"/>
        <v>0</v>
      </c>
      <c r="N21" s="33" t="e">
        <f>INDEX(Data!C:C,MATCH(F17,Data!B:B,0))</f>
        <v>#N/A</v>
      </c>
      <c r="O21" s="51" t="e">
        <f t="shared" si="3"/>
        <v>#N/A</v>
      </c>
    </row>
    <row r="22" spans="1:15" ht="44.45" customHeight="1" x14ac:dyDescent="0.2">
      <c r="A22" s="36">
        <v>15</v>
      </c>
      <c r="B22" s="26" t="s">
        <v>94</v>
      </c>
      <c r="C22" s="27">
        <f>SUMIF(Data!E:E,B22,Data!F:F)</f>
        <v>55</v>
      </c>
      <c r="D22" s="28"/>
      <c r="E22" s="29" t="s">
        <v>14</v>
      </c>
      <c r="F22" s="30"/>
      <c r="G22" s="31"/>
      <c r="H22" s="32">
        <f t="shared" si="4"/>
        <v>0</v>
      </c>
      <c r="J22" s="47">
        <f t="shared" si="0"/>
        <v>0</v>
      </c>
      <c r="K22" s="48">
        <f>SUMIF(Data!E:E,'มหาชัย(2)'!B22,Data!F:F)*J22</f>
        <v>0</v>
      </c>
      <c r="L22" s="49">
        <f t="shared" si="1"/>
        <v>0</v>
      </c>
      <c r="M22" s="50">
        <f t="shared" si="2"/>
        <v>0</v>
      </c>
      <c r="N22" s="33" t="e">
        <f>INDEX(Data!C:C,MATCH(F18,Data!B:B,0))</f>
        <v>#N/A</v>
      </c>
      <c r="O22" s="51" t="e">
        <f t="shared" si="3"/>
        <v>#N/A</v>
      </c>
    </row>
    <row r="23" spans="1:15" ht="44.45" customHeight="1" x14ac:dyDescent="0.2">
      <c r="A23" s="36">
        <v>16</v>
      </c>
      <c r="B23" s="26" t="s">
        <v>95</v>
      </c>
      <c r="C23" s="27">
        <f>SUMIF(Data!E:E,B23,Data!F:F)</f>
        <v>50</v>
      </c>
      <c r="D23" s="28"/>
      <c r="E23" s="29" t="s">
        <v>14</v>
      </c>
      <c r="F23" s="30"/>
      <c r="G23" s="31"/>
      <c r="H23" s="32">
        <f t="shared" si="4"/>
        <v>0</v>
      </c>
      <c r="J23" s="47">
        <f t="shared" si="0"/>
        <v>0</v>
      </c>
      <c r="K23" s="48">
        <f>SUMIF(Data!E:E,'มหาชัย(2)'!B23,Data!F:F)*J23</f>
        <v>0</v>
      </c>
      <c r="L23" s="49">
        <f t="shared" si="1"/>
        <v>0</v>
      </c>
      <c r="M23" s="50">
        <f t="shared" si="2"/>
        <v>0</v>
      </c>
      <c r="N23" s="33" t="e">
        <f>INDEX(Data!C:C,MATCH(F19,Data!B:B,0))</f>
        <v>#N/A</v>
      </c>
      <c r="O23" s="51" t="e">
        <f t="shared" si="3"/>
        <v>#N/A</v>
      </c>
    </row>
    <row r="24" spans="1:15" ht="44.45" customHeight="1" x14ac:dyDescent="0.2">
      <c r="A24" s="36">
        <v>17</v>
      </c>
      <c r="B24" s="26" t="s">
        <v>98</v>
      </c>
      <c r="C24" s="27">
        <f>SUMIF(Data!E:E,B24,Data!F:F)</f>
        <v>55</v>
      </c>
      <c r="D24" s="28"/>
      <c r="E24" s="29" t="s">
        <v>14</v>
      </c>
      <c r="F24" s="30"/>
      <c r="G24" s="31"/>
      <c r="H24" s="32">
        <f t="shared" si="4"/>
        <v>0</v>
      </c>
      <c r="J24" s="47">
        <f t="shared" si="0"/>
        <v>0</v>
      </c>
      <c r="K24" s="48">
        <f>SUMIF(Data!E:E,'มหาชัย(2)'!B24,Data!F:F)*J24</f>
        <v>0</v>
      </c>
      <c r="L24" s="49">
        <f t="shared" si="1"/>
        <v>0</v>
      </c>
      <c r="M24" s="50">
        <f t="shared" si="2"/>
        <v>0</v>
      </c>
      <c r="N24" s="33" t="e">
        <f>INDEX(Data!C:C,MATCH(F20,Data!B:B,0))</f>
        <v>#N/A</v>
      </c>
      <c r="O24" s="51" t="e">
        <f t="shared" si="3"/>
        <v>#N/A</v>
      </c>
    </row>
    <row r="25" spans="1:15" ht="44.45" customHeight="1" x14ac:dyDescent="0.2">
      <c r="A25" s="36">
        <v>18</v>
      </c>
      <c r="B25" s="26" t="s">
        <v>99</v>
      </c>
      <c r="C25" s="27">
        <f>SUMIF(Data!E:E,B25,Data!F:F)</f>
        <v>55</v>
      </c>
      <c r="D25" s="28"/>
      <c r="E25" s="29" t="s">
        <v>14</v>
      </c>
      <c r="F25" s="30"/>
      <c r="G25" s="31"/>
      <c r="H25" s="32">
        <f t="shared" si="4"/>
        <v>0</v>
      </c>
      <c r="J25" s="47">
        <f t="shared" si="0"/>
        <v>0</v>
      </c>
      <c r="K25" s="48">
        <f>SUMIF(Data!E:E,'มหาชัย(2)'!B25,Data!F:F)*J25</f>
        <v>0</v>
      </c>
      <c r="L25" s="49">
        <f t="shared" si="1"/>
        <v>0</v>
      </c>
      <c r="M25" s="50">
        <f t="shared" si="2"/>
        <v>0</v>
      </c>
      <c r="N25" s="33" t="e">
        <f>INDEX(Data!C:C,MATCH(F21,Data!B:B,0))</f>
        <v>#N/A</v>
      </c>
      <c r="O25" s="51" t="e">
        <f t="shared" si="3"/>
        <v>#N/A</v>
      </c>
    </row>
    <row r="26" spans="1:15" ht="44.45" customHeight="1" x14ac:dyDescent="0.2">
      <c r="A26" s="36">
        <v>19</v>
      </c>
      <c r="B26" s="26" t="s">
        <v>100</v>
      </c>
      <c r="C26" s="27">
        <f>SUMIF(Data!E:E,B26,Data!F:F)</f>
        <v>81</v>
      </c>
      <c r="D26" s="28"/>
      <c r="E26" s="29" t="s">
        <v>14</v>
      </c>
      <c r="F26" s="30"/>
      <c r="G26" s="31"/>
      <c r="H26" s="32">
        <f t="shared" si="4"/>
        <v>0</v>
      </c>
      <c r="J26" s="47">
        <f t="shared" si="0"/>
        <v>0</v>
      </c>
      <c r="K26" s="48">
        <f>SUMIF(Data!E:E,'มหาชัย(2)'!B26,Data!F:F)*J26</f>
        <v>0</v>
      </c>
      <c r="L26" s="49">
        <f t="shared" si="1"/>
        <v>0</v>
      </c>
      <c r="M26" s="50">
        <f t="shared" si="2"/>
        <v>0</v>
      </c>
      <c r="N26" s="33" t="e">
        <f>INDEX(Data!C:C,MATCH(F22,Data!B:B,0))</f>
        <v>#N/A</v>
      </c>
      <c r="O26" s="51" t="e">
        <f t="shared" si="3"/>
        <v>#N/A</v>
      </c>
    </row>
    <row r="27" spans="1:15" ht="54.6" customHeight="1" x14ac:dyDescent="0.2">
      <c r="A27" s="60" t="s">
        <v>5</v>
      </c>
      <c r="B27" s="60"/>
      <c r="C27" s="40"/>
      <c r="D27" s="41"/>
      <c r="E27" s="42"/>
      <c r="F27" s="42"/>
      <c r="G27" s="42"/>
      <c r="H27" s="1"/>
      <c r="J27" s="14" t="s">
        <v>39</v>
      </c>
      <c r="K27" s="14" t="s">
        <v>41</v>
      </c>
      <c r="L27" s="14" t="s">
        <v>57</v>
      </c>
    </row>
    <row r="28" spans="1:15" ht="20.100000000000001" customHeight="1" x14ac:dyDescent="0.2">
      <c r="J28" s="13">
        <f>SUM($J$8:$J$26)</f>
        <v>0</v>
      </c>
      <c r="K28" s="13">
        <f>SUM($L$8:$L$26)</f>
        <v>0</v>
      </c>
      <c r="L28" s="13">
        <f>SUM(J28:K28)</f>
        <v>0</v>
      </c>
    </row>
    <row r="29" spans="1:15" ht="20.100000000000001" customHeight="1" x14ac:dyDescent="0.2">
      <c r="L29" s="13"/>
    </row>
    <row r="30" spans="1:15" ht="61.5" customHeight="1" x14ac:dyDescent="0.25">
      <c r="A30" s="8"/>
      <c r="B30" s="9" t="s">
        <v>29</v>
      </c>
      <c r="C30" s="9"/>
      <c r="G30" s="8" t="s">
        <v>31</v>
      </c>
      <c r="K30" s="20" t="s">
        <v>72</v>
      </c>
      <c r="L30" s="22">
        <f>SUM('ชลบุรี(2):ร่มเกล้า(1)'!L28)</f>
        <v>0</v>
      </c>
      <c r="N30" s="8"/>
      <c r="O30" s="8"/>
    </row>
    <row r="31" spans="1:15" ht="61.5" customHeight="1" x14ac:dyDescent="0.25">
      <c r="A31" s="8"/>
      <c r="B31" s="8" t="s">
        <v>28</v>
      </c>
      <c r="C31" s="8"/>
      <c r="F31" s="8"/>
      <c r="G31" s="8" t="s">
        <v>32</v>
      </c>
      <c r="H31" s="8"/>
      <c r="K31" s="20" t="s">
        <v>73</v>
      </c>
      <c r="L31" s="22">
        <f>L30/200</f>
        <v>0</v>
      </c>
      <c r="N31" s="8"/>
      <c r="O31" s="8"/>
    </row>
    <row r="32" spans="1:15" ht="61.5" customHeight="1" x14ac:dyDescent="0.25">
      <c r="A32" s="8"/>
      <c r="B32" s="8" t="s">
        <v>30</v>
      </c>
      <c r="C32" s="8"/>
      <c r="F32" s="8"/>
      <c r="G32" s="8" t="s">
        <v>33</v>
      </c>
      <c r="H32" s="9"/>
      <c r="J32" s="11"/>
      <c r="L32" s="9"/>
      <c r="N32" s="9"/>
      <c r="O32" s="9"/>
    </row>
    <row r="33" ht="20.100000000000001" customHeight="1" x14ac:dyDescent="0.2"/>
    <row r="34" ht="20.100000000000001" customHeight="1" x14ac:dyDescent="0.2"/>
    <row r="35" ht="20.100000000000001" customHeight="1" x14ac:dyDescent="0.2"/>
    <row r="36" ht="20.100000000000001" customHeight="1" x14ac:dyDescent="0.2"/>
    <row r="37" ht="20.100000000000001" customHeight="1" x14ac:dyDescent="0.2"/>
    <row r="38" ht="20.100000000000001" customHeight="1" x14ac:dyDescent="0.2"/>
    <row r="39" ht="20.100000000000001" customHeight="1" x14ac:dyDescent="0.2"/>
    <row r="40" ht="20.100000000000001" customHeight="1" x14ac:dyDescent="0.2"/>
    <row r="41" ht="20.100000000000001" customHeight="1" x14ac:dyDescent="0.2"/>
  </sheetData>
  <mergeCells count="13">
    <mergeCell ref="A1:F2"/>
    <mergeCell ref="A3:H3"/>
    <mergeCell ref="D4:E4"/>
    <mergeCell ref="F4:H4"/>
    <mergeCell ref="A5:A6"/>
    <mergeCell ref="B5:B6"/>
    <mergeCell ref="D5:E5"/>
    <mergeCell ref="F5:H6"/>
    <mergeCell ref="J5:M5"/>
    <mergeCell ref="D6:E6"/>
    <mergeCell ref="J6:K6"/>
    <mergeCell ref="L6:M6"/>
    <mergeCell ref="A27:B27"/>
  </mergeCells>
  <conditionalFormatting sqref="H8:H26">
    <cfRule type="cellIs" dxfId="47" priority="5" operator="lessThan">
      <formula>-1</formula>
    </cfRule>
    <cfRule type="cellIs" dxfId="46" priority="6" operator="equal">
      <formula>"-"</formula>
    </cfRule>
  </conditionalFormatting>
  <conditionalFormatting sqref="J8:O26">
    <cfRule type="containsErrors" dxfId="45" priority="4">
      <formula>ISERROR(J8)</formula>
    </cfRule>
  </conditionalFormatting>
  <conditionalFormatting sqref="O8:O26">
    <cfRule type="cellIs" dxfId="44" priority="1" operator="lessThan">
      <formula>0</formula>
    </cfRule>
    <cfRule type="cellIs" dxfId="43" priority="2" operator="greaterThan">
      <formula>15</formula>
    </cfRule>
    <cfRule type="cellIs" dxfId="42" priority="3" operator="lessThan">
      <formula>16</formula>
    </cfRule>
  </conditionalFormatting>
  <pageMargins left="0.7" right="0.7" top="0.75" bottom="0.75" header="0.3" footer="0.3"/>
  <pageSetup paperSize="9" scale="38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0DFEC70-C545-4959-9905-729325745642}">
          <x14:formula1>
            <xm:f>Data!$B$2:$B$22</xm:f>
          </x14:formula1>
          <xm:sqref>F4</xm:sqref>
        </x14:dataValidation>
        <x14:dataValidation type="list" allowBlank="1" showInputMessage="1" showErrorMessage="1" xr:uid="{B61419B8-272E-4CED-A83A-6B86F2B07780}">
          <x14:formula1>
            <xm:f>Data!$G$2:$G$6</xm:f>
          </x14:formula1>
          <xm:sqref>E8:E26</xm:sqref>
        </x14:dataValidation>
        <x14:dataValidation type="list" allowBlank="1" showInputMessage="1" showErrorMessage="1" xr:uid="{5263DB3A-54E9-4DBF-B2DC-9F436B08DE83}">
          <x14:formula1>
            <xm:f>Data!$E$2:$E$37</xm:f>
          </x14:formula1>
          <xm:sqref>B8:B26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6D130-C74D-4D8B-9788-013F18E62AF7}">
  <sheetPr>
    <tabColor rgb="FF92D050"/>
    <pageSetUpPr fitToPage="1"/>
  </sheetPr>
  <dimension ref="A1:O41"/>
  <sheetViews>
    <sheetView topLeftCell="A7" zoomScale="55" zoomScaleNormal="55" zoomScaleSheetLayoutView="50" workbookViewId="0">
      <selection activeCell="B26" sqref="B26"/>
    </sheetView>
  </sheetViews>
  <sheetFormatPr defaultRowHeight="14.25" x14ac:dyDescent="0.2"/>
  <cols>
    <col min="2" max="2" width="60.875" customWidth="1"/>
    <col min="3" max="3" width="9.375" customWidth="1"/>
    <col min="4" max="4" width="19.625" customWidth="1"/>
    <col min="5" max="5" width="10.375" customWidth="1"/>
    <col min="6" max="7" width="22.125" customWidth="1"/>
    <col min="8" max="8" width="20.875" customWidth="1"/>
    <col min="9" max="9" width="1.875" customWidth="1"/>
    <col min="10" max="13" width="13.875" customWidth="1"/>
    <col min="14" max="14" width="8.75" customWidth="1"/>
    <col min="15" max="15" width="18.125" customWidth="1"/>
  </cols>
  <sheetData>
    <row r="1" spans="1:15" ht="39.6" customHeight="1" x14ac:dyDescent="0.2">
      <c r="A1" s="61" t="s">
        <v>19</v>
      </c>
      <c r="B1" s="61"/>
      <c r="C1" s="61"/>
      <c r="D1" s="61"/>
      <c r="E1" s="61"/>
      <c r="F1" s="61"/>
      <c r="G1" s="6" t="s">
        <v>17</v>
      </c>
      <c r="H1" s="5" t="s">
        <v>58</v>
      </c>
    </row>
    <row r="2" spans="1:15" ht="40.5" customHeight="1" thickBot="1" x14ac:dyDescent="0.25">
      <c r="A2" s="62"/>
      <c r="B2" s="62"/>
      <c r="C2" s="62"/>
      <c r="D2" s="62"/>
      <c r="E2" s="62"/>
      <c r="F2" s="62"/>
      <c r="G2" s="6" t="s">
        <v>27</v>
      </c>
      <c r="H2" s="15"/>
    </row>
    <row r="3" spans="1:15" ht="48.6" customHeight="1" x14ac:dyDescent="0.2">
      <c r="A3" s="63" t="s">
        <v>1</v>
      </c>
      <c r="B3" s="64"/>
      <c r="C3" s="64"/>
      <c r="D3" s="64"/>
      <c r="E3" s="64"/>
      <c r="F3" s="64"/>
      <c r="G3" s="64"/>
      <c r="H3" s="65"/>
    </row>
    <row r="4" spans="1:15" ht="54.95" customHeight="1" x14ac:dyDescent="0.2">
      <c r="A4" s="33" t="s">
        <v>0</v>
      </c>
      <c r="B4" s="34" t="s">
        <v>21</v>
      </c>
      <c r="C4" s="35"/>
      <c r="D4" s="66" t="s">
        <v>6</v>
      </c>
      <c r="E4" s="66"/>
      <c r="F4" s="57" t="s">
        <v>56</v>
      </c>
      <c r="G4" s="57"/>
      <c r="H4" s="57"/>
    </row>
    <row r="5" spans="1:15" ht="30.95" customHeight="1" x14ac:dyDescent="0.2">
      <c r="A5" s="55" t="s">
        <v>2</v>
      </c>
      <c r="B5" s="67"/>
      <c r="C5" s="37"/>
      <c r="D5" s="55" t="s">
        <v>18</v>
      </c>
      <c r="E5" s="55"/>
      <c r="F5" s="68"/>
      <c r="G5" s="68"/>
      <c r="H5" s="68"/>
      <c r="J5" s="55" t="s">
        <v>38</v>
      </c>
      <c r="K5" s="55"/>
      <c r="L5" s="55"/>
      <c r="M5" s="55"/>
    </row>
    <row r="6" spans="1:15" ht="30.6" customHeight="1" x14ac:dyDescent="0.2">
      <c r="A6" s="55"/>
      <c r="B6" s="67"/>
      <c r="C6" s="37"/>
      <c r="D6" s="56"/>
      <c r="E6" s="57"/>
      <c r="F6" s="68"/>
      <c r="G6" s="68"/>
      <c r="H6" s="68"/>
      <c r="J6" s="58" t="s">
        <v>39</v>
      </c>
      <c r="K6" s="58"/>
      <c r="L6" s="59" t="s">
        <v>41</v>
      </c>
      <c r="M6" s="59"/>
    </row>
    <row r="7" spans="1:15" s="7" customFormat="1" ht="36.6" customHeight="1" x14ac:dyDescent="0.25">
      <c r="A7" s="38" t="s">
        <v>3</v>
      </c>
      <c r="B7" s="38" t="s">
        <v>4</v>
      </c>
      <c r="C7" s="38" t="s">
        <v>42</v>
      </c>
      <c r="D7" s="38" t="s">
        <v>11</v>
      </c>
      <c r="E7" s="38" t="s">
        <v>12</v>
      </c>
      <c r="F7" s="38" t="s">
        <v>9</v>
      </c>
      <c r="G7" s="38" t="s">
        <v>10</v>
      </c>
      <c r="H7" s="39" t="s">
        <v>24</v>
      </c>
      <c r="J7" s="43" t="s">
        <v>40</v>
      </c>
      <c r="K7" s="44" t="s">
        <v>14</v>
      </c>
      <c r="L7" s="45" t="s">
        <v>40</v>
      </c>
      <c r="M7" s="46" t="s">
        <v>14</v>
      </c>
      <c r="N7" s="42" t="s">
        <v>25</v>
      </c>
      <c r="O7" s="42" t="s">
        <v>26</v>
      </c>
    </row>
    <row r="8" spans="1:15" ht="44.45" customHeight="1" x14ac:dyDescent="0.2">
      <c r="A8" s="36">
        <v>1</v>
      </c>
      <c r="B8" s="26" t="s">
        <v>77</v>
      </c>
      <c r="C8" s="27">
        <f>SUMIF(Data!E:E,B8,Data!F:F)</f>
        <v>42</v>
      </c>
      <c r="D8" s="28"/>
      <c r="E8" s="29" t="s">
        <v>14</v>
      </c>
      <c r="F8" s="30"/>
      <c r="G8" s="31"/>
      <c r="H8" s="32">
        <f>+G8-$D$6</f>
        <v>0</v>
      </c>
      <c r="J8" s="47">
        <f t="shared" ref="J8:J26" si="0">ROUNDDOWN((D8/C8),0)</f>
        <v>0</v>
      </c>
      <c r="K8" s="48">
        <f>SUMIF(Data!E:E,'มหาชัย(2)'!B8,Data!F:F)*J8</f>
        <v>0</v>
      </c>
      <c r="L8" s="49">
        <f t="shared" ref="L8:L26" si="1">ROUNDUP((M8/C8),0)</f>
        <v>0</v>
      </c>
      <c r="M8" s="50">
        <f t="shared" ref="M8:M26" si="2">D8-K8</f>
        <v>0</v>
      </c>
      <c r="N8" s="33">
        <f>INDEX(Data!C:C,MATCH(F4,Data!B:B,0))</f>
        <v>60</v>
      </c>
      <c r="O8" s="51">
        <f t="shared" ref="O8:O26" si="3">H8-N8</f>
        <v>-60</v>
      </c>
    </row>
    <row r="9" spans="1:15" ht="44.45" customHeight="1" x14ac:dyDescent="0.2">
      <c r="A9" s="36">
        <v>2</v>
      </c>
      <c r="B9" s="26" t="s">
        <v>66</v>
      </c>
      <c r="C9" s="27">
        <f>SUMIF(Data!E:E,B9,Data!F:F)</f>
        <v>36</v>
      </c>
      <c r="D9" s="28"/>
      <c r="E9" s="29" t="s">
        <v>14</v>
      </c>
      <c r="F9" s="30"/>
      <c r="G9" s="31"/>
      <c r="H9" s="32">
        <f t="shared" ref="H9:H26" si="4">+G9-$D$6</f>
        <v>0</v>
      </c>
      <c r="J9" s="47">
        <f t="shared" si="0"/>
        <v>0</v>
      </c>
      <c r="K9" s="48">
        <f>SUMIF(Data!E:E,'มหาชัย(2)'!B9,Data!F:F)*J9</f>
        <v>0</v>
      </c>
      <c r="L9" s="49">
        <f t="shared" si="1"/>
        <v>0</v>
      </c>
      <c r="M9" s="50">
        <f t="shared" si="2"/>
        <v>0</v>
      </c>
      <c r="N9" s="33" t="e">
        <f>INDEX(Data!C:C,MATCH(F5,Data!B:B,0))</f>
        <v>#N/A</v>
      </c>
      <c r="O9" s="51" t="e">
        <f t="shared" si="3"/>
        <v>#N/A</v>
      </c>
    </row>
    <row r="10" spans="1:15" ht="44.45" customHeight="1" x14ac:dyDescent="0.2">
      <c r="A10" s="36">
        <v>3</v>
      </c>
      <c r="B10" s="26" t="s">
        <v>79</v>
      </c>
      <c r="C10" s="27">
        <f>SUMIF(Data!E:E,B10,Data!F:F)</f>
        <v>42</v>
      </c>
      <c r="D10" s="28"/>
      <c r="E10" s="29" t="s">
        <v>14</v>
      </c>
      <c r="F10" s="30"/>
      <c r="G10" s="31"/>
      <c r="H10" s="32">
        <f t="shared" si="4"/>
        <v>0</v>
      </c>
      <c r="J10" s="47">
        <f t="shared" si="0"/>
        <v>0</v>
      </c>
      <c r="K10" s="48">
        <f>SUMIF(Data!E:E,'มหาชัย(2)'!B10,Data!F:F)*J10</f>
        <v>0</v>
      </c>
      <c r="L10" s="49">
        <f t="shared" si="1"/>
        <v>0</v>
      </c>
      <c r="M10" s="50">
        <f t="shared" si="2"/>
        <v>0</v>
      </c>
      <c r="N10" s="33" t="e">
        <f>INDEX(Data!C:C,MATCH(F6,Data!B:B,0))</f>
        <v>#N/A</v>
      </c>
      <c r="O10" s="51" t="e">
        <f t="shared" si="3"/>
        <v>#N/A</v>
      </c>
    </row>
    <row r="11" spans="1:15" ht="44.45" customHeight="1" x14ac:dyDescent="0.2">
      <c r="A11" s="36">
        <v>4</v>
      </c>
      <c r="B11" s="26" t="s">
        <v>80</v>
      </c>
      <c r="C11" s="27">
        <f>SUMIF(Data!E:E,B11,Data!F:F)</f>
        <v>50</v>
      </c>
      <c r="D11" s="28"/>
      <c r="E11" s="29" t="s">
        <v>14</v>
      </c>
      <c r="F11" s="30"/>
      <c r="G11" s="31"/>
      <c r="H11" s="32">
        <f t="shared" si="4"/>
        <v>0</v>
      </c>
      <c r="J11" s="47">
        <f t="shared" si="0"/>
        <v>0</v>
      </c>
      <c r="K11" s="48">
        <f>SUMIF(Data!E:E,'มหาชัย(2)'!B11,Data!F:F)*J11</f>
        <v>0</v>
      </c>
      <c r="L11" s="49">
        <f t="shared" si="1"/>
        <v>0</v>
      </c>
      <c r="M11" s="50">
        <f t="shared" si="2"/>
        <v>0</v>
      </c>
      <c r="N11" s="33" t="e">
        <f>INDEX(Data!C:C,MATCH(F7,Data!B:B,0))</f>
        <v>#N/A</v>
      </c>
      <c r="O11" s="51" t="e">
        <f t="shared" si="3"/>
        <v>#N/A</v>
      </c>
    </row>
    <row r="12" spans="1:15" ht="44.45" customHeight="1" x14ac:dyDescent="0.2">
      <c r="A12" s="36">
        <v>5</v>
      </c>
      <c r="B12" s="26" t="s">
        <v>71</v>
      </c>
      <c r="C12" s="27">
        <f>SUMIF(Data!E:E,B12,Data!F:F)</f>
        <v>81</v>
      </c>
      <c r="D12" s="28"/>
      <c r="E12" s="29" t="s">
        <v>14</v>
      </c>
      <c r="F12" s="30"/>
      <c r="G12" s="31"/>
      <c r="H12" s="32">
        <f t="shared" si="4"/>
        <v>0</v>
      </c>
      <c r="J12" s="47">
        <f t="shared" si="0"/>
        <v>0</v>
      </c>
      <c r="K12" s="48">
        <f>SUMIF(Data!E:E,'มหาชัย(2)'!B12,Data!F:F)*J12</f>
        <v>0</v>
      </c>
      <c r="L12" s="49">
        <f t="shared" si="1"/>
        <v>0</v>
      </c>
      <c r="M12" s="50">
        <f t="shared" si="2"/>
        <v>0</v>
      </c>
      <c r="N12" s="33" t="e">
        <f>INDEX(Data!C:C,MATCH(F8,Data!B:B,0))</f>
        <v>#N/A</v>
      </c>
      <c r="O12" s="51" t="e">
        <f t="shared" si="3"/>
        <v>#N/A</v>
      </c>
    </row>
    <row r="13" spans="1:15" ht="44.45" customHeight="1" x14ac:dyDescent="0.2">
      <c r="A13" s="36">
        <v>6</v>
      </c>
      <c r="B13" s="26" t="s">
        <v>84</v>
      </c>
      <c r="C13" s="27">
        <f>SUMIF(Data!E:E,B13,Data!F:F)</f>
        <v>42</v>
      </c>
      <c r="D13" s="28"/>
      <c r="E13" s="29" t="s">
        <v>14</v>
      </c>
      <c r="F13" s="30"/>
      <c r="G13" s="31"/>
      <c r="H13" s="32">
        <f t="shared" si="4"/>
        <v>0</v>
      </c>
      <c r="J13" s="47">
        <f t="shared" si="0"/>
        <v>0</v>
      </c>
      <c r="K13" s="48">
        <f>SUMIF(Data!E:E,'มหาชัย(2)'!B13,Data!F:F)*J13</f>
        <v>0</v>
      </c>
      <c r="L13" s="49">
        <f t="shared" si="1"/>
        <v>0</v>
      </c>
      <c r="M13" s="50">
        <f t="shared" si="2"/>
        <v>0</v>
      </c>
      <c r="N13" s="33" t="e">
        <f>INDEX(Data!C:C,MATCH(F9,Data!B:B,0))</f>
        <v>#N/A</v>
      </c>
      <c r="O13" s="51" t="e">
        <f t="shared" si="3"/>
        <v>#N/A</v>
      </c>
    </row>
    <row r="14" spans="1:15" ht="44.45" customHeight="1" x14ac:dyDescent="0.2">
      <c r="A14" s="36">
        <v>7</v>
      </c>
      <c r="B14" s="26" t="s">
        <v>85</v>
      </c>
      <c r="C14" s="27">
        <f>SUMIF(Data!E:E,B14,Data!F:F)</f>
        <v>32</v>
      </c>
      <c r="D14" s="28"/>
      <c r="E14" s="29" t="s">
        <v>14</v>
      </c>
      <c r="F14" s="30"/>
      <c r="G14" s="31"/>
      <c r="H14" s="32">
        <f t="shared" si="4"/>
        <v>0</v>
      </c>
      <c r="J14" s="47">
        <f t="shared" si="0"/>
        <v>0</v>
      </c>
      <c r="K14" s="48">
        <f>SUMIF(Data!E:E,'มหาชัย(2)'!B14,Data!F:F)*J14</f>
        <v>0</v>
      </c>
      <c r="L14" s="49">
        <f t="shared" si="1"/>
        <v>0</v>
      </c>
      <c r="M14" s="50">
        <f t="shared" si="2"/>
        <v>0</v>
      </c>
      <c r="N14" s="33" t="e">
        <f>INDEX(Data!C:C,MATCH(F10,Data!B:B,0))</f>
        <v>#N/A</v>
      </c>
      <c r="O14" s="51" t="e">
        <f t="shared" si="3"/>
        <v>#N/A</v>
      </c>
    </row>
    <row r="15" spans="1:15" ht="44.45" customHeight="1" x14ac:dyDescent="0.2">
      <c r="A15" s="36">
        <v>8</v>
      </c>
      <c r="B15" s="26" t="s">
        <v>76</v>
      </c>
      <c r="C15" s="27">
        <f>SUMIF(Data!E:E,B15,Data!F:F)</f>
        <v>70</v>
      </c>
      <c r="D15" s="28"/>
      <c r="E15" s="29" t="s">
        <v>14</v>
      </c>
      <c r="F15" s="30"/>
      <c r="G15" s="31"/>
      <c r="H15" s="32">
        <f t="shared" si="4"/>
        <v>0</v>
      </c>
      <c r="J15" s="47">
        <f t="shared" si="0"/>
        <v>0</v>
      </c>
      <c r="K15" s="48">
        <f>SUMIF(Data!E:E,'มหาชัย(2)'!B15,Data!F:F)*J15</f>
        <v>0</v>
      </c>
      <c r="L15" s="49">
        <f t="shared" si="1"/>
        <v>0</v>
      </c>
      <c r="M15" s="50">
        <f t="shared" si="2"/>
        <v>0</v>
      </c>
      <c r="N15" s="33" t="e">
        <f>INDEX(Data!C:C,MATCH(F11,Data!B:B,0))</f>
        <v>#N/A</v>
      </c>
      <c r="O15" s="51" t="e">
        <f t="shared" si="3"/>
        <v>#N/A</v>
      </c>
    </row>
    <row r="16" spans="1:15" ht="44.45" customHeight="1" x14ac:dyDescent="0.2">
      <c r="A16" s="36">
        <v>9</v>
      </c>
      <c r="B16" s="26" t="s">
        <v>89</v>
      </c>
      <c r="C16" s="27">
        <f>SUMIF(Data!E:E,B16,Data!F:F)</f>
        <v>45</v>
      </c>
      <c r="D16" s="28"/>
      <c r="E16" s="29" t="s">
        <v>14</v>
      </c>
      <c r="F16" s="30"/>
      <c r="G16" s="31"/>
      <c r="H16" s="32">
        <f t="shared" si="4"/>
        <v>0</v>
      </c>
      <c r="J16" s="47">
        <f t="shared" si="0"/>
        <v>0</v>
      </c>
      <c r="K16" s="48">
        <f>SUMIF(Data!E:E,'มหาชัย(2)'!B16,Data!F:F)*J16</f>
        <v>0</v>
      </c>
      <c r="L16" s="49">
        <f t="shared" si="1"/>
        <v>0</v>
      </c>
      <c r="M16" s="50">
        <f t="shared" si="2"/>
        <v>0</v>
      </c>
      <c r="N16" s="33" t="e">
        <f>INDEX(Data!C:C,MATCH(F12,Data!B:B,0))</f>
        <v>#N/A</v>
      </c>
      <c r="O16" s="51" t="e">
        <f t="shared" si="3"/>
        <v>#N/A</v>
      </c>
    </row>
    <row r="17" spans="1:15" ht="44.45" customHeight="1" x14ac:dyDescent="0.2">
      <c r="A17" s="36">
        <v>10</v>
      </c>
      <c r="B17" s="26" t="s">
        <v>88</v>
      </c>
      <c r="C17" s="27">
        <f>SUMIF(Data!E:E,B17,Data!F:F)</f>
        <v>48</v>
      </c>
      <c r="D17" s="28"/>
      <c r="E17" s="29" t="s">
        <v>14</v>
      </c>
      <c r="F17" s="30"/>
      <c r="G17" s="31"/>
      <c r="H17" s="32">
        <f t="shared" si="4"/>
        <v>0</v>
      </c>
      <c r="J17" s="47">
        <f t="shared" si="0"/>
        <v>0</v>
      </c>
      <c r="K17" s="48">
        <f>SUMIF(Data!E:E,'มหาชัย(2)'!B17,Data!F:F)*J17</f>
        <v>0</v>
      </c>
      <c r="L17" s="49">
        <f t="shared" si="1"/>
        <v>0</v>
      </c>
      <c r="M17" s="50">
        <f t="shared" si="2"/>
        <v>0</v>
      </c>
      <c r="N17" s="33" t="e">
        <f>INDEX(Data!C:C,MATCH(F13,Data!B:B,0))</f>
        <v>#N/A</v>
      </c>
      <c r="O17" s="51" t="e">
        <f t="shared" si="3"/>
        <v>#N/A</v>
      </c>
    </row>
    <row r="18" spans="1:15" ht="44.45" customHeight="1" x14ac:dyDescent="0.2">
      <c r="A18" s="36">
        <v>11</v>
      </c>
      <c r="B18" s="26" t="s">
        <v>87</v>
      </c>
      <c r="C18" s="27">
        <f>SUMIF(Data!E:E,B18,Data!F:F)</f>
        <v>48</v>
      </c>
      <c r="D18" s="28"/>
      <c r="E18" s="29" t="s">
        <v>14</v>
      </c>
      <c r="F18" s="30"/>
      <c r="G18" s="31"/>
      <c r="H18" s="32">
        <f t="shared" si="4"/>
        <v>0</v>
      </c>
      <c r="J18" s="47">
        <f t="shared" si="0"/>
        <v>0</v>
      </c>
      <c r="K18" s="48">
        <f>SUMIF(Data!E:E,'มหาชัย(2)'!B18,Data!F:F)*J18</f>
        <v>0</v>
      </c>
      <c r="L18" s="49">
        <f t="shared" si="1"/>
        <v>0</v>
      </c>
      <c r="M18" s="50">
        <f t="shared" si="2"/>
        <v>0</v>
      </c>
      <c r="N18" s="33" t="e">
        <f>INDEX(Data!C:C,MATCH(F14,Data!B:B,0))</f>
        <v>#N/A</v>
      </c>
      <c r="O18" s="51" t="e">
        <f t="shared" si="3"/>
        <v>#N/A</v>
      </c>
    </row>
    <row r="19" spans="1:15" ht="44.45" customHeight="1" x14ac:dyDescent="0.2">
      <c r="A19" s="36">
        <v>12</v>
      </c>
      <c r="B19" s="26" t="s">
        <v>90</v>
      </c>
      <c r="C19" s="27">
        <f>SUMIF(Data!E:E,B19,Data!F:F)</f>
        <v>60</v>
      </c>
      <c r="D19" s="28"/>
      <c r="E19" s="29" t="s">
        <v>14</v>
      </c>
      <c r="F19" s="30"/>
      <c r="G19" s="31"/>
      <c r="H19" s="32">
        <f t="shared" si="4"/>
        <v>0</v>
      </c>
      <c r="J19" s="47">
        <f t="shared" si="0"/>
        <v>0</v>
      </c>
      <c r="K19" s="48">
        <f>SUMIF(Data!E:E,'มหาชัย(2)'!B19,Data!F:F)*J19</f>
        <v>0</v>
      </c>
      <c r="L19" s="49">
        <f t="shared" si="1"/>
        <v>0</v>
      </c>
      <c r="M19" s="50">
        <f t="shared" si="2"/>
        <v>0</v>
      </c>
      <c r="N19" s="33" t="e">
        <f>INDEX(Data!C:C,MATCH(F15,Data!B:B,0))</f>
        <v>#N/A</v>
      </c>
      <c r="O19" s="51" t="e">
        <f t="shared" si="3"/>
        <v>#N/A</v>
      </c>
    </row>
    <row r="20" spans="1:15" ht="44.45" customHeight="1" x14ac:dyDescent="0.2">
      <c r="A20" s="36">
        <v>13</v>
      </c>
      <c r="B20" s="26" t="s">
        <v>91</v>
      </c>
      <c r="C20" s="27">
        <f>SUMIF(Data!E:E,B20,Data!F:F)</f>
        <v>50</v>
      </c>
      <c r="D20" s="28"/>
      <c r="E20" s="29" t="s">
        <v>14</v>
      </c>
      <c r="F20" s="30"/>
      <c r="G20" s="31"/>
      <c r="H20" s="32">
        <f t="shared" si="4"/>
        <v>0</v>
      </c>
      <c r="J20" s="47">
        <f t="shared" si="0"/>
        <v>0</v>
      </c>
      <c r="K20" s="48">
        <f>SUMIF(Data!E:E,'มหาชัย(2)'!B20,Data!F:F)*J20</f>
        <v>0</v>
      </c>
      <c r="L20" s="49">
        <f t="shared" si="1"/>
        <v>0</v>
      </c>
      <c r="M20" s="50">
        <f t="shared" si="2"/>
        <v>0</v>
      </c>
      <c r="N20" s="33" t="e">
        <f>INDEX(Data!C:C,MATCH(F16,Data!B:B,0))</f>
        <v>#N/A</v>
      </c>
      <c r="O20" s="51" t="e">
        <f t="shared" si="3"/>
        <v>#N/A</v>
      </c>
    </row>
    <row r="21" spans="1:15" ht="44.45" customHeight="1" x14ac:dyDescent="0.2">
      <c r="A21" s="36">
        <v>14</v>
      </c>
      <c r="B21" s="26" t="s">
        <v>93</v>
      </c>
      <c r="C21" s="27">
        <f>SUMIF(Data!E:E,B21,Data!F:F)</f>
        <v>60</v>
      </c>
      <c r="D21" s="28"/>
      <c r="E21" s="29" t="s">
        <v>14</v>
      </c>
      <c r="F21" s="30"/>
      <c r="G21" s="31"/>
      <c r="H21" s="32">
        <f t="shared" si="4"/>
        <v>0</v>
      </c>
      <c r="J21" s="47">
        <f t="shared" si="0"/>
        <v>0</v>
      </c>
      <c r="K21" s="48">
        <f>SUMIF(Data!E:E,'มหาชัย(2)'!B21,Data!F:F)*J21</f>
        <v>0</v>
      </c>
      <c r="L21" s="49">
        <f t="shared" si="1"/>
        <v>0</v>
      </c>
      <c r="M21" s="50">
        <f t="shared" si="2"/>
        <v>0</v>
      </c>
      <c r="N21" s="33" t="e">
        <f>INDEX(Data!C:C,MATCH(F17,Data!B:B,0))</f>
        <v>#N/A</v>
      </c>
      <c r="O21" s="51" t="e">
        <f t="shared" si="3"/>
        <v>#N/A</v>
      </c>
    </row>
    <row r="22" spans="1:15" ht="44.45" customHeight="1" x14ac:dyDescent="0.2">
      <c r="A22" s="36">
        <v>15</v>
      </c>
      <c r="B22" s="26" t="s">
        <v>94</v>
      </c>
      <c r="C22" s="27">
        <f>SUMIF(Data!E:E,B22,Data!F:F)</f>
        <v>55</v>
      </c>
      <c r="D22" s="28"/>
      <c r="E22" s="29" t="s">
        <v>14</v>
      </c>
      <c r="F22" s="30"/>
      <c r="G22" s="31"/>
      <c r="H22" s="32">
        <f t="shared" si="4"/>
        <v>0</v>
      </c>
      <c r="J22" s="47">
        <f t="shared" si="0"/>
        <v>0</v>
      </c>
      <c r="K22" s="48">
        <f>SUMIF(Data!E:E,'มหาชัย(2)'!B22,Data!F:F)*J22</f>
        <v>0</v>
      </c>
      <c r="L22" s="49">
        <f t="shared" si="1"/>
        <v>0</v>
      </c>
      <c r="M22" s="50">
        <f t="shared" si="2"/>
        <v>0</v>
      </c>
      <c r="N22" s="33" t="e">
        <f>INDEX(Data!C:C,MATCH(F18,Data!B:B,0))</f>
        <v>#N/A</v>
      </c>
      <c r="O22" s="51" t="e">
        <f t="shared" si="3"/>
        <v>#N/A</v>
      </c>
    </row>
    <row r="23" spans="1:15" ht="44.45" customHeight="1" x14ac:dyDescent="0.2">
      <c r="A23" s="36">
        <v>16</v>
      </c>
      <c r="B23" s="26" t="s">
        <v>95</v>
      </c>
      <c r="C23" s="27">
        <f>SUMIF(Data!E:E,B23,Data!F:F)</f>
        <v>50</v>
      </c>
      <c r="D23" s="28"/>
      <c r="E23" s="29" t="s">
        <v>14</v>
      </c>
      <c r="F23" s="30"/>
      <c r="G23" s="31"/>
      <c r="H23" s="32">
        <f t="shared" si="4"/>
        <v>0</v>
      </c>
      <c r="J23" s="47">
        <f t="shared" si="0"/>
        <v>0</v>
      </c>
      <c r="K23" s="48">
        <f>SUMIF(Data!E:E,'มหาชัย(2)'!B23,Data!F:F)*J23</f>
        <v>0</v>
      </c>
      <c r="L23" s="49">
        <f t="shared" si="1"/>
        <v>0</v>
      </c>
      <c r="M23" s="50">
        <f t="shared" si="2"/>
        <v>0</v>
      </c>
      <c r="N23" s="33" t="e">
        <f>INDEX(Data!C:C,MATCH(F19,Data!B:B,0))</f>
        <v>#N/A</v>
      </c>
      <c r="O23" s="51" t="e">
        <f t="shared" si="3"/>
        <v>#N/A</v>
      </c>
    </row>
    <row r="24" spans="1:15" ht="44.45" customHeight="1" x14ac:dyDescent="0.2">
      <c r="A24" s="36">
        <v>17</v>
      </c>
      <c r="B24" s="26" t="s">
        <v>98</v>
      </c>
      <c r="C24" s="27">
        <f>SUMIF(Data!E:E,B24,Data!F:F)</f>
        <v>55</v>
      </c>
      <c r="D24" s="28"/>
      <c r="E24" s="29" t="s">
        <v>14</v>
      </c>
      <c r="F24" s="30"/>
      <c r="G24" s="31"/>
      <c r="H24" s="32">
        <f t="shared" si="4"/>
        <v>0</v>
      </c>
      <c r="J24" s="47">
        <f t="shared" si="0"/>
        <v>0</v>
      </c>
      <c r="K24" s="48">
        <f>SUMIF(Data!E:E,'มหาชัย(2)'!B24,Data!F:F)*J24</f>
        <v>0</v>
      </c>
      <c r="L24" s="49">
        <f t="shared" si="1"/>
        <v>0</v>
      </c>
      <c r="M24" s="50">
        <f t="shared" si="2"/>
        <v>0</v>
      </c>
      <c r="N24" s="33" t="e">
        <f>INDEX(Data!C:C,MATCH(F20,Data!B:B,0))</f>
        <v>#N/A</v>
      </c>
      <c r="O24" s="51" t="e">
        <f t="shared" si="3"/>
        <v>#N/A</v>
      </c>
    </row>
    <row r="25" spans="1:15" ht="44.45" customHeight="1" x14ac:dyDescent="0.2">
      <c r="A25" s="36">
        <v>18</v>
      </c>
      <c r="B25" s="26" t="s">
        <v>99</v>
      </c>
      <c r="C25" s="27">
        <f>SUMIF(Data!E:E,B25,Data!F:F)</f>
        <v>55</v>
      </c>
      <c r="D25" s="28"/>
      <c r="E25" s="29" t="s">
        <v>14</v>
      </c>
      <c r="F25" s="30"/>
      <c r="G25" s="31"/>
      <c r="H25" s="32">
        <f t="shared" si="4"/>
        <v>0</v>
      </c>
      <c r="J25" s="47">
        <f t="shared" si="0"/>
        <v>0</v>
      </c>
      <c r="K25" s="48">
        <f>SUMIF(Data!E:E,'มหาชัย(2)'!B25,Data!F:F)*J25</f>
        <v>0</v>
      </c>
      <c r="L25" s="49">
        <f t="shared" si="1"/>
        <v>0</v>
      </c>
      <c r="M25" s="50">
        <f t="shared" si="2"/>
        <v>0</v>
      </c>
      <c r="N25" s="33" t="e">
        <f>INDEX(Data!C:C,MATCH(F21,Data!B:B,0))</f>
        <v>#N/A</v>
      </c>
      <c r="O25" s="51" t="e">
        <f t="shared" si="3"/>
        <v>#N/A</v>
      </c>
    </row>
    <row r="26" spans="1:15" ht="44.45" customHeight="1" x14ac:dyDescent="0.2">
      <c r="A26" s="36">
        <v>19</v>
      </c>
      <c r="B26" s="26" t="s">
        <v>100</v>
      </c>
      <c r="C26" s="27">
        <f>SUMIF(Data!E:E,B26,Data!F:F)</f>
        <v>81</v>
      </c>
      <c r="D26" s="28"/>
      <c r="E26" s="29" t="s">
        <v>14</v>
      </c>
      <c r="F26" s="30"/>
      <c r="G26" s="31"/>
      <c r="H26" s="32">
        <f t="shared" si="4"/>
        <v>0</v>
      </c>
      <c r="J26" s="47">
        <f t="shared" si="0"/>
        <v>0</v>
      </c>
      <c r="K26" s="48">
        <f>SUMIF(Data!E:E,'มหาชัย(2)'!B26,Data!F:F)*J26</f>
        <v>0</v>
      </c>
      <c r="L26" s="49">
        <f t="shared" si="1"/>
        <v>0</v>
      </c>
      <c r="M26" s="50">
        <f t="shared" si="2"/>
        <v>0</v>
      </c>
      <c r="N26" s="33" t="e">
        <f>INDEX(Data!C:C,MATCH(F22,Data!B:B,0))</f>
        <v>#N/A</v>
      </c>
      <c r="O26" s="51" t="e">
        <f t="shared" si="3"/>
        <v>#N/A</v>
      </c>
    </row>
    <row r="27" spans="1:15" ht="54.6" customHeight="1" x14ac:dyDescent="0.2">
      <c r="A27" s="60" t="s">
        <v>5</v>
      </c>
      <c r="B27" s="60"/>
      <c r="C27" s="40"/>
      <c r="D27" s="41"/>
      <c r="E27" s="42"/>
      <c r="F27" s="42"/>
      <c r="G27" s="42"/>
      <c r="H27" s="1"/>
      <c r="J27" s="14" t="s">
        <v>39</v>
      </c>
      <c r="K27" s="14" t="s">
        <v>41</v>
      </c>
      <c r="L27" s="14" t="s">
        <v>57</v>
      </c>
    </row>
    <row r="28" spans="1:15" ht="20.100000000000001" customHeight="1" x14ac:dyDescent="0.2">
      <c r="J28" s="13">
        <f>SUM($J$8:$J$26)</f>
        <v>0</v>
      </c>
      <c r="K28" s="13">
        <f>SUM($L$8:$L$26)</f>
        <v>0</v>
      </c>
      <c r="L28" s="13">
        <f>SUM(J28:K28)</f>
        <v>0</v>
      </c>
    </row>
    <row r="29" spans="1:15" ht="20.100000000000001" customHeight="1" x14ac:dyDescent="0.2">
      <c r="L29" s="13"/>
    </row>
    <row r="30" spans="1:15" ht="61.5" customHeight="1" x14ac:dyDescent="0.25">
      <c r="A30" s="8"/>
      <c r="B30" s="9" t="s">
        <v>29</v>
      </c>
      <c r="C30" s="9"/>
      <c r="G30" s="8" t="s">
        <v>31</v>
      </c>
      <c r="K30" s="11"/>
      <c r="L30" s="8"/>
      <c r="N30" s="8"/>
      <c r="O30" s="8"/>
    </row>
    <row r="31" spans="1:15" ht="61.5" customHeight="1" x14ac:dyDescent="0.25">
      <c r="A31" s="8"/>
      <c r="B31" s="8" t="s">
        <v>28</v>
      </c>
      <c r="C31" s="8"/>
      <c r="F31" s="8"/>
      <c r="G31" s="8" t="s">
        <v>32</v>
      </c>
      <c r="H31" s="8"/>
      <c r="K31" s="11"/>
      <c r="L31" s="8"/>
      <c r="N31" s="8"/>
      <c r="O31" s="8"/>
    </row>
    <row r="32" spans="1:15" ht="61.5" customHeight="1" x14ac:dyDescent="0.25">
      <c r="A32" s="8"/>
      <c r="B32" s="8" t="s">
        <v>30</v>
      </c>
      <c r="C32" s="8"/>
      <c r="F32" s="8"/>
      <c r="G32" s="8" t="s">
        <v>33</v>
      </c>
      <c r="H32" s="9"/>
      <c r="J32" s="11"/>
      <c r="L32" s="9"/>
      <c r="N32" s="9"/>
      <c r="O32" s="9"/>
    </row>
    <row r="33" ht="20.100000000000001" customHeight="1" x14ac:dyDescent="0.2"/>
    <row r="34" ht="20.100000000000001" customHeight="1" x14ac:dyDescent="0.2"/>
    <row r="35" ht="20.100000000000001" customHeight="1" x14ac:dyDescent="0.2"/>
    <row r="36" ht="20.100000000000001" customHeight="1" x14ac:dyDescent="0.2"/>
    <row r="37" ht="20.100000000000001" customHeight="1" x14ac:dyDescent="0.2"/>
    <row r="38" ht="20.100000000000001" customHeight="1" x14ac:dyDescent="0.2"/>
    <row r="39" ht="20.100000000000001" customHeight="1" x14ac:dyDescent="0.2"/>
    <row r="40" ht="20.100000000000001" customHeight="1" x14ac:dyDescent="0.2"/>
    <row r="41" ht="20.100000000000001" customHeight="1" x14ac:dyDescent="0.2"/>
  </sheetData>
  <mergeCells count="13">
    <mergeCell ref="A1:F2"/>
    <mergeCell ref="A3:H3"/>
    <mergeCell ref="D4:E4"/>
    <mergeCell ref="F4:H4"/>
    <mergeCell ref="A5:A6"/>
    <mergeCell ref="B5:B6"/>
    <mergeCell ref="D5:E5"/>
    <mergeCell ref="F5:H6"/>
    <mergeCell ref="J5:M5"/>
    <mergeCell ref="D6:E6"/>
    <mergeCell ref="J6:K6"/>
    <mergeCell ref="L6:M6"/>
    <mergeCell ref="A27:B27"/>
  </mergeCells>
  <conditionalFormatting sqref="H8:H26">
    <cfRule type="cellIs" dxfId="41" priority="5" operator="lessThan">
      <formula>-1</formula>
    </cfRule>
    <cfRule type="cellIs" dxfId="40" priority="6" operator="equal">
      <formula>"-"</formula>
    </cfRule>
  </conditionalFormatting>
  <conditionalFormatting sqref="J8:O26">
    <cfRule type="containsErrors" dxfId="39" priority="4">
      <formula>ISERROR(J8)</formula>
    </cfRule>
  </conditionalFormatting>
  <conditionalFormatting sqref="O8:O26">
    <cfRule type="cellIs" dxfId="38" priority="1" operator="lessThan">
      <formula>0</formula>
    </cfRule>
    <cfRule type="cellIs" dxfId="37" priority="2" operator="greaterThan">
      <formula>15</formula>
    </cfRule>
    <cfRule type="cellIs" dxfId="36" priority="3" operator="lessThan">
      <formula>16</formula>
    </cfRule>
  </conditionalFormatting>
  <pageMargins left="0.7" right="0.7" top="0.75" bottom="0.75" header="0.3" footer="0.3"/>
  <pageSetup paperSize="9" scale="38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571F89C-24CC-471A-89BF-37ECA1B44C17}">
          <x14:formula1>
            <xm:f>Data!$B$2:$B$22</xm:f>
          </x14:formula1>
          <xm:sqref>F4</xm:sqref>
        </x14:dataValidation>
        <x14:dataValidation type="list" allowBlank="1" showInputMessage="1" showErrorMessage="1" xr:uid="{A20C99E2-513C-4B2E-A4E4-E6E6B3D023B6}">
          <x14:formula1>
            <xm:f>Data!$G$2:$G$6</xm:f>
          </x14:formula1>
          <xm:sqref>E8:E26</xm:sqref>
        </x14:dataValidation>
        <x14:dataValidation type="list" allowBlank="1" showInputMessage="1" showErrorMessage="1" xr:uid="{93E041B2-CBEC-4A51-90B3-26A974CFDC25}">
          <x14:formula1>
            <xm:f>Data!$E$2:$E$37</xm:f>
          </x14:formula1>
          <xm:sqref>B8:B26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E3B66-807B-4902-8C10-7C093D4B2F68}">
  <sheetPr>
    <tabColor rgb="FF92D050"/>
    <pageSetUpPr fitToPage="1"/>
  </sheetPr>
  <dimension ref="A1:O41"/>
  <sheetViews>
    <sheetView topLeftCell="A7" zoomScale="55" zoomScaleNormal="55" zoomScaleSheetLayoutView="50" workbookViewId="0">
      <selection activeCell="B26" sqref="B26"/>
    </sheetView>
  </sheetViews>
  <sheetFormatPr defaultRowHeight="14.25" x14ac:dyDescent="0.2"/>
  <cols>
    <col min="2" max="2" width="60.875" customWidth="1"/>
    <col min="3" max="3" width="9.375" customWidth="1"/>
    <col min="4" max="4" width="19.625" customWidth="1"/>
    <col min="5" max="5" width="10.375" customWidth="1"/>
    <col min="6" max="7" width="22.125" customWidth="1"/>
    <col min="8" max="8" width="20.875" customWidth="1"/>
    <col min="9" max="9" width="1.875" customWidth="1"/>
    <col min="10" max="13" width="13.875" customWidth="1"/>
    <col min="14" max="14" width="8.75" customWidth="1"/>
    <col min="15" max="15" width="18.125" customWidth="1"/>
  </cols>
  <sheetData>
    <row r="1" spans="1:15" ht="39.6" customHeight="1" x14ac:dyDescent="0.2">
      <c r="A1" s="61" t="s">
        <v>19</v>
      </c>
      <c r="B1" s="61"/>
      <c r="C1" s="61"/>
      <c r="D1" s="61"/>
      <c r="E1" s="61"/>
      <c r="F1" s="61"/>
      <c r="G1" s="6" t="s">
        <v>17</v>
      </c>
      <c r="H1" s="5" t="s">
        <v>58</v>
      </c>
    </row>
    <row r="2" spans="1:15" ht="40.5" customHeight="1" thickBot="1" x14ac:dyDescent="0.25">
      <c r="A2" s="62"/>
      <c r="B2" s="62"/>
      <c r="C2" s="62"/>
      <c r="D2" s="62"/>
      <c r="E2" s="62"/>
      <c r="F2" s="62"/>
      <c r="G2" s="6" t="s">
        <v>27</v>
      </c>
      <c r="H2" s="15"/>
    </row>
    <row r="3" spans="1:15" ht="48.6" customHeight="1" x14ac:dyDescent="0.2">
      <c r="A3" s="63" t="s">
        <v>1</v>
      </c>
      <c r="B3" s="64"/>
      <c r="C3" s="64"/>
      <c r="D3" s="64"/>
      <c r="E3" s="64"/>
      <c r="F3" s="64"/>
      <c r="G3" s="64"/>
      <c r="H3" s="65"/>
    </row>
    <row r="4" spans="1:15" ht="54.95" customHeight="1" x14ac:dyDescent="0.2">
      <c r="A4" s="33" t="s">
        <v>0</v>
      </c>
      <c r="B4" s="34" t="s">
        <v>21</v>
      </c>
      <c r="C4" s="35"/>
      <c r="D4" s="66" t="s">
        <v>6</v>
      </c>
      <c r="E4" s="66"/>
      <c r="F4" s="57" t="s">
        <v>47</v>
      </c>
      <c r="G4" s="57"/>
      <c r="H4" s="57"/>
    </row>
    <row r="5" spans="1:15" ht="30.95" customHeight="1" x14ac:dyDescent="0.2">
      <c r="A5" s="55" t="s">
        <v>2</v>
      </c>
      <c r="B5" s="67"/>
      <c r="C5" s="37"/>
      <c r="D5" s="55" t="s">
        <v>18</v>
      </c>
      <c r="E5" s="55"/>
      <c r="F5" s="68"/>
      <c r="G5" s="68"/>
      <c r="H5" s="68"/>
      <c r="J5" s="55" t="s">
        <v>38</v>
      </c>
      <c r="K5" s="55"/>
      <c r="L5" s="55"/>
      <c r="M5" s="55"/>
    </row>
    <row r="6" spans="1:15" ht="30.6" customHeight="1" x14ac:dyDescent="0.2">
      <c r="A6" s="55"/>
      <c r="B6" s="67"/>
      <c r="C6" s="37"/>
      <c r="D6" s="56"/>
      <c r="E6" s="57"/>
      <c r="F6" s="68"/>
      <c r="G6" s="68"/>
      <c r="H6" s="68"/>
      <c r="J6" s="58" t="s">
        <v>39</v>
      </c>
      <c r="K6" s="58"/>
      <c r="L6" s="59" t="s">
        <v>41</v>
      </c>
      <c r="M6" s="59"/>
    </row>
    <row r="7" spans="1:15" s="7" customFormat="1" ht="36.6" customHeight="1" x14ac:dyDescent="0.25">
      <c r="A7" s="38" t="s">
        <v>3</v>
      </c>
      <c r="B7" s="38" t="s">
        <v>4</v>
      </c>
      <c r="C7" s="38" t="s">
        <v>42</v>
      </c>
      <c r="D7" s="38" t="s">
        <v>11</v>
      </c>
      <c r="E7" s="38" t="s">
        <v>12</v>
      </c>
      <c r="F7" s="38" t="s">
        <v>9</v>
      </c>
      <c r="G7" s="38" t="s">
        <v>10</v>
      </c>
      <c r="H7" s="39" t="s">
        <v>24</v>
      </c>
      <c r="J7" s="43" t="s">
        <v>40</v>
      </c>
      <c r="K7" s="44" t="s">
        <v>14</v>
      </c>
      <c r="L7" s="45" t="s">
        <v>40</v>
      </c>
      <c r="M7" s="46" t="s">
        <v>14</v>
      </c>
      <c r="N7" s="42" t="s">
        <v>25</v>
      </c>
      <c r="O7" s="42" t="s">
        <v>26</v>
      </c>
    </row>
    <row r="8" spans="1:15" ht="44.45" customHeight="1" x14ac:dyDescent="0.2">
      <c r="A8" s="36">
        <v>1</v>
      </c>
      <c r="B8" s="26" t="s">
        <v>77</v>
      </c>
      <c r="C8" s="27">
        <f>SUMIF(Data!E:E,B8,Data!F:F)</f>
        <v>42</v>
      </c>
      <c r="D8" s="28"/>
      <c r="E8" s="29" t="s">
        <v>14</v>
      </c>
      <c r="F8" s="30"/>
      <c r="G8" s="31"/>
      <c r="H8" s="32">
        <f>+G8-$D$6</f>
        <v>0</v>
      </c>
      <c r="J8" s="47">
        <f t="shared" ref="J8:J26" si="0">ROUNDDOWN((D8/C8),0)</f>
        <v>0</v>
      </c>
      <c r="K8" s="48">
        <f>SUMIF(Data!E:E,'มหาชัย(2)'!B8,Data!F:F)*J8</f>
        <v>0</v>
      </c>
      <c r="L8" s="49">
        <f t="shared" ref="L8:L26" si="1">ROUNDUP((M8/C8),0)</f>
        <v>0</v>
      </c>
      <c r="M8" s="50">
        <f t="shared" ref="M8:M26" si="2">D8-K8</f>
        <v>0</v>
      </c>
      <c r="N8" s="33">
        <f>INDEX(Data!C:C,MATCH(F4,Data!B:B,0))</f>
        <v>60</v>
      </c>
      <c r="O8" s="51">
        <f t="shared" ref="O8:O26" si="3">H8-N8</f>
        <v>-60</v>
      </c>
    </row>
    <row r="9" spans="1:15" ht="44.45" customHeight="1" x14ac:dyDescent="0.2">
      <c r="A9" s="36">
        <v>2</v>
      </c>
      <c r="B9" s="26" t="s">
        <v>66</v>
      </c>
      <c r="C9" s="27">
        <f>SUMIF(Data!E:E,B9,Data!F:F)</f>
        <v>36</v>
      </c>
      <c r="D9" s="28"/>
      <c r="E9" s="29" t="s">
        <v>14</v>
      </c>
      <c r="F9" s="30"/>
      <c r="G9" s="31"/>
      <c r="H9" s="32">
        <f t="shared" ref="H9:H26" si="4">+G9-$D$6</f>
        <v>0</v>
      </c>
      <c r="J9" s="47">
        <f t="shared" si="0"/>
        <v>0</v>
      </c>
      <c r="K9" s="48">
        <f>SUMIF(Data!E:E,'มหาชัย(2)'!B9,Data!F:F)*J9</f>
        <v>0</v>
      </c>
      <c r="L9" s="49">
        <f t="shared" si="1"/>
        <v>0</v>
      </c>
      <c r="M9" s="50">
        <f t="shared" si="2"/>
        <v>0</v>
      </c>
      <c r="N9" s="33" t="e">
        <f>INDEX(Data!C:C,MATCH(F5,Data!B:B,0))</f>
        <v>#N/A</v>
      </c>
      <c r="O9" s="51" t="e">
        <f t="shared" si="3"/>
        <v>#N/A</v>
      </c>
    </row>
    <row r="10" spans="1:15" ht="44.45" customHeight="1" x14ac:dyDescent="0.2">
      <c r="A10" s="36">
        <v>3</v>
      </c>
      <c r="B10" s="26" t="s">
        <v>79</v>
      </c>
      <c r="C10" s="27">
        <f>SUMIF(Data!E:E,B10,Data!F:F)</f>
        <v>42</v>
      </c>
      <c r="D10" s="28"/>
      <c r="E10" s="29" t="s">
        <v>14</v>
      </c>
      <c r="F10" s="30"/>
      <c r="G10" s="31"/>
      <c r="H10" s="32">
        <f t="shared" si="4"/>
        <v>0</v>
      </c>
      <c r="J10" s="47">
        <f t="shared" si="0"/>
        <v>0</v>
      </c>
      <c r="K10" s="48">
        <f>SUMIF(Data!E:E,'มหาชัย(2)'!B10,Data!F:F)*J10</f>
        <v>0</v>
      </c>
      <c r="L10" s="49">
        <f t="shared" si="1"/>
        <v>0</v>
      </c>
      <c r="M10" s="50">
        <f t="shared" si="2"/>
        <v>0</v>
      </c>
      <c r="N10" s="33" t="e">
        <f>INDEX(Data!C:C,MATCH(F6,Data!B:B,0))</f>
        <v>#N/A</v>
      </c>
      <c r="O10" s="51" t="e">
        <f t="shared" si="3"/>
        <v>#N/A</v>
      </c>
    </row>
    <row r="11" spans="1:15" ht="44.45" customHeight="1" x14ac:dyDescent="0.2">
      <c r="A11" s="36">
        <v>4</v>
      </c>
      <c r="B11" s="26" t="s">
        <v>80</v>
      </c>
      <c r="C11" s="27">
        <f>SUMIF(Data!E:E,B11,Data!F:F)</f>
        <v>50</v>
      </c>
      <c r="D11" s="28"/>
      <c r="E11" s="29" t="s">
        <v>14</v>
      </c>
      <c r="F11" s="30"/>
      <c r="G11" s="31"/>
      <c r="H11" s="32">
        <f t="shared" si="4"/>
        <v>0</v>
      </c>
      <c r="J11" s="47">
        <f t="shared" si="0"/>
        <v>0</v>
      </c>
      <c r="K11" s="48">
        <f>SUMIF(Data!E:E,'มหาชัย(2)'!B11,Data!F:F)*J11</f>
        <v>0</v>
      </c>
      <c r="L11" s="49">
        <f t="shared" si="1"/>
        <v>0</v>
      </c>
      <c r="M11" s="50">
        <f t="shared" si="2"/>
        <v>0</v>
      </c>
      <c r="N11" s="33" t="e">
        <f>INDEX(Data!C:C,MATCH(F7,Data!B:B,0))</f>
        <v>#N/A</v>
      </c>
      <c r="O11" s="51" t="e">
        <f t="shared" si="3"/>
        <v>#N/A</v>
      </c>
    </row>
    <row r="12" spans="1:15" ht="44.45" customHeight="1" x14ac:dyDescent="0.2">
      <c r="A12" s="36">
        <v>5</v>
      </c>
      <c r="B12" s="26" t="s">
        <v>71</v>
      </c>
      <c r="C12" s="27">
        <f>SUMIF(Data!E:E,B12,Data!F:F)</f>
        <v>81</v>
      </c>
      <c r="D12" s="28"/>
      <c r="E12" s="29" t="s">
        <v>14</v>
      </c>
      <c r="F12" s="30"/>
      <c r="G12" s="31"/>
      <c r="H12" s="32">
        <f t="shared" si="4"/>
        <v>0</v>
      </c>
      <c r="J12" s="47">
        <f t="shared" si="0"/>
        <v>0</v>
      </c>
      <c r="K12" s="48">
        <f>SUMIF(Data!E:E,'มหาชัย(2)'!B12,Data!F:F)*J12</f>
        <v>0</v>
      </c>
      <c r="L12" s="49">
        <f t="shared" si="1"/>
        <v>0</v>
      </c>
      <c r="M12" s="50">
        <f t="shared" si="2"/>
        <v>0</v>
      </c>
      <c r="N12" s="33" t="e">
        <f>INDEX(Data!C:C,MATCH(F8,Data!B:B,0))</f>
        <v>#N/A</v>
      </c>
      <c r="O12" s="51" t="e">
        <f t="shared" si="3"/>
        <v>#N/A</v>
      </c>
    </row>
    <row r="13" spans="1:15" ht="44.45" customHeight="1" x14ac:dyDescent="0.2">
      <c r="A13" s="36">
        <v>6</v>
      </c>
      <c r="B13" s="26" t="s">
        <v>84</v>
      </c>
      <c r="C13" s="27">
        <f>SUMIF(Data!E:E,B13,Data!F:F)</f>
        <v>42</v>
      </c>
      <c r="D13" s="28"/>
      <c r="E13" s="29" t="s">
        <v>14</v>
      </c>
      <c r="F13" s="30"/>
      <c r="G13" s="31"/>
      <c r="H13" s="32">
        <f t="shared" si="4"/>
        <v>0</v>
      </c>
      <c r="J13" s="47">
        <f t="shared" si="0"/>
        <v>0</v>
      </c>
      <c r="K13" s="48">
        <f>SUMIF(Data!E:E,'มหาชัย(2)'!B13,Data!F:F)*J13</f>
        <v>0</v>
      </c>
      <c r="L13" s="49">
        <f t="shared" si="1"/>
        <v>0</v>
      </c>
      <c r="M13" s="50">
        <f t="shared" si="2"/>
        <v>0</v>
      </c>
      <c r="N13" s="33" t="e">
        <f>INDEX(Data!C:C,MATCH(F9,Data!B:B,0))</f>
        <v>#N/A</v>
      </c>
      <c r="O13" s="51" t="e">
        <f t="shared" si="3"/>
        <v>#N/A</v>
      </c>
    </row>
    <row r="14" spans="1:15" ht="44.45" customHeight="1" x14ac:dyDescent="0.2">
      <c r="A14" s="36">
        <v>7</v>
      </c>
      <c r="B14" s="26" t="s">
        <v>85</v>
      </c>
      <c r="C14" s="27">
        <f>SUMIF(Data!E:E,B14,Data!F:F)</f>
        <v>32</v>
      </c>
      <c r="D14" s="28"/>
      <c r="E14" s="29" t="s">
        <v>14</v>
      </c>
      <c r="F14" s="30"/>
      <c r="G14" s="31"/>
      <c r="H14" s="32">
        <f t="shared" si="4"/>
        <v>0</v>
      </c>
      <c r="J14" s="47">
        <f t="shared" si="0"/>
        <v>0</v>
      </c>
      <c r="K14" s="48">
        <f>SUMIF(Data!E:E,'มหาชัย(2)'!B14,Data!F:F)*J14</f>
        <v>0</v>
      </c>
      <c r="L14" s="49">
        <f t="shared" si="1"/>
        <v>0</v>
      </c>
      <c r="M14" s="50">
        <f t="shared" si="2"/>
        <v>0</v>
      </c>
      <c r="N14" s="33" t="e">
        <f>INDEX(Data!C:C,MATCH(F10,Data!B:B,0))</f>
        <v>#N/A</v>
      </c>
      <c r="O14" s="51" t="e">
        <f t="shared" si="3"/>
        <v>#N/A</v>
      </c>
    </row>
    <row r="15" spans="1:15" ht="44.45" customHeight="1" x14ac:dyDescent="0.2">
      <c r="A15" s="36">
        <v>8</v>
      </c>
      <c r="B15" s="26" t="s">
        <v>76</v>
      </c>
      <c r="C15" s="27">
        <f>SUMIF(Data!E:E,B15,Data!F:F)</f>
        <v>70</v>
      </c>
      <c r="D15" s="28"/>
      <c r="E15" s="29" t="s">
        <v>14</v>
      </c>
      <c r="F15" s="30"/>
      <c r="G15" s="31"/>
      <c r="H15" s="32">
        <f t="shared" si="4"/>
        <v>0</v>
      </c>
      <c r="J15" s="47">
        <f t="shared" si="0"/>
        <v>0</v>
      </c>
      <c r="K15" s="48">
        <f>SUMIF(Data!E:E,'มหาชัย(2)'!B15,Data!F:F)*J15</f>
        <v>0</v>
      </c>
      <c r="L15" s="49">
        <f t="shared" si="1"/>
        <v>0</v>
      </c>
      <c r="M15" s="50">
        <f t="shared" si="2"/>
        <v>0</v>
      </c>
      <c r="N15" s="33" t="e">
        <f>INDEX(Data!C:C,MATCH(F11,Data!B:B,0))</f>
        <v>#N/A</v>
      </c>
      <c r="O15" s="51" t="e">
        <f t="shared" si="3"/>
        <v>#N/A</v>
      </c>
    </row>
    <row r="16" spans="1:15" ht="44.45" customHeight="1" x14ac:dyDescent="0.2">
      <c r="A16" s="36">
        <v>9</v>
      </c>
      <c r="B16" s="26" t="s">
        <v>89</v>
      </c>
      <c r="C16" s="27">
        <f>SUMIF(Data!E:E,B16,Data!F:F)</f>
        <v>45</v>
      </c>
      <c r="D16" s="28"/>
      <c r="E16" s="29" t="s">
        <v>14</v>
      </c>
      <c r="F16" s="30"/>
      <c r="G16" s="31"/>
      <c r="H16" s="32">
        <f t="shared" si="4"/>
        <v>0</v>
      </c>
      <c r="J16" s="47">
        <f t="shared" si="0"/>
        <v>0</v>
      </c>
      <c r="K16" s="48">
        <f>SUMIF(Data!E:E,'มหาชัย(2)'!B16,Data!F:F)*J16</f>
        <v>0</v>
      </c>
      <c r="L16" s="49">
        <f t="shared" si="1"/>
        <v>0</v>
      </c>
      <c r="M16" s="50">
        <f t="shared" si="2"/>
        <v>0</v>
      </c>
      <c r="N16" s="33" t="e">
        <f>INDEX(Data!C:C,MATCH(F12,Data!B:B,0))</f>
        <v>#N/A</v>
      </c>
      <c r="O16" s="51" t="e">
        <f t="shared" si="3"/>
        <v>#N/A</v>
      </c>
    </row>
    <row r="17" spans="1:15" ht="44.45" customHeight="1" x14ac:dyDescent="0.2">
      <c r="A17" s="36">
        <v>10</v>
      </c>
      <c r="B17" s="26" t="s">
        <v>88</v>
      </c>
      <c r="C17" s="27">
        <f>SUMIF(Data!E:E,B17,Data!F:F)</f>
        <v>48</v>
      </c>
      <c r="D17" s="28"/>
      <c r="E17" s="29" t="s">
        <v>14</v>
      </c>
      <c r="F17" s="30"/>
      <c r="G17" s="31"/>
      <c r="H17" s="32">
        <f t="shared" si="4"/>
        <v>0</v>
      </c>
      <c r="J17" s="47">
        <f t="shared" si="0"/>
        <v>0</v>
      </c>
      <c r="K17" s="48">
        <f>SUMIF(Data!E:E,'มหาชัย(2)'!B17,Data!F:F)*J17</f>
        <v>0</v>
      </c>
      <c r="L17" s="49">
        <f t="shared" si="1"/>
        <v>0</v>
      </c>
      <c r="M17" s="50">
        <f t="shared" si="2"/>
        <v>0</v>
      </c>
      <c r="N17" s="33" t="e">
        <f>INDEX(Data!C:C,MATCH(F13,Data!B:B,0))</f>
        <v>#N/A</v>
      </c>
      <c r="O17" s="51" t="e">
        <f t="shared" si="3"/>
        <v>#N/A</v>
      </c>
    </row>
    <row r="18" spans="1:15" ht="44.45" customHeight="1" x14ac:dyDescent="0.2">
      <c r="A18" s="36">
        <v>11</v>
      </c>
      <c r="B18" s="26" t="s">
        <v>87</v>
      </c>
      <c r="C18" s="27">
        <f>SUMIF(Data!E:E,B18,Data!F:F)</f>
        <v>48</v>
      </c>
      <c r="D18" s="28"/>
      <c r="E18" s="29" t="s">
        <v>14</v>
      </c>
      <c r="F18" s="30"/>
      <c r="G18" s="31"/>
      <c r="H18" s="32">
        <f t="shared" si="4"/>
        <v>0</v>
      </c>
      <c r="J18" s="47">
        <f t="shared" si="0"/>
        <v>0</v>
      </c>
      <c r="K18" s="48">
        <f>SUMIF(Data!E:E,'มหาชัย(2)'!B18,Data!F:F)*J18</f>
        <v>0</v>
      </c>
      <c r="L18" s="49">
        <f t="shared" si="1"/>
        <v>0</v>
      </c>
      <c r="M18" s="50">
        <f t="shared" si="2"/>
        <v>0</v>
      </c>
      <c r="N18" s="33" t="e">
        <f>INDEX(Data!C:C,MATCH(F14,Data!B:B,0))</f>
        <v>#N/A</v>
      </c>
      <c r="O18" s="51" t="e">
        <f t="shared" si="3"/>
        <v>#N/A</v>
      </c>
    </row>
    <row r="19" spans="1:15" ht="44.45" customHeight="1" x14ac:dyDescent="0.2">
      <c r="A19" s="36">
        <v>12</v>
      </c>
      <c r="B19" s="26" t="s">
        <v>90</v>
      </c>
      <c r="C19" s="27">
        <f>SUMIF(Data!E:E,B19,Data!F:F)</f>
        <v>60</v>
      </c>
      <c r="D19" s="28"/>
      <c r="E19" s="29" t="s">
        <v>14</v>
      </c>
      <c r="F19" s="30"/>
      <c r="G19" s="31"/>
      <c r="H19" s="32">
        <f t="shared" si="4"/>
        <v>0</v>
      </c>
      <c r="J19" s="47">
        <f t="shared" si="0"/>
        <v>0</v>
      </c>
      <c r="K19" s="48">
        <f>SUMIF(Data!E:E,'มหาชัย(2)'!B19,Data!F:F)*J19</f>
        <v>0</v>
      </c>
      <c r="L19" s="49">
        <f t="shared" si="1"/>
        <v>0</v>
      </c>
      <c r="M19" s="50">
        <f t="shared" si="2"/>
        <v>0</v>
      </c>
      <c r="N19" s="33" t="e">
        <f>INDEX(Data!C:C,MATCH(F15,Data!B:B,0))</f>
        <v>#N/A</v>
      </c>
      <c r="O19" s="51" t="e">
        <f t="shared" si="3"/>
        <v>#N/A</v>
      </c>
    </row>
    <row r="20" spans="1:15" ht="44.45" customHeight="1" x14ac:dyDescent="0.2">
      <c r="A20" s="36">
        <v>13</v>
      </c>
      <c r="B20" s="26" t="s">
        <v>91</v>
      </c>
      <c r="C20" s="27">
        <f>SUMIF(Data!E:E,B20,Data!F:F)</f>
        <v>50</v>
      </c>
      <c r="D20" s="28"/>
      <c r="E20" s="29" t="s">
        <v>14</v>
      </c>
      <c r="F20" s="30"/>
      <c r="G20" s="31"/>
      <c r="H20" s="32">
        <f t="shared" si="4"/>
        <v>0</v>
      </c>
      <c r="J20" s="47">
        <f t="shared" si="0"/>
        <v>0</v>
      </c>
      <c r="K20" s="48">
        <f>SUMIF(Data!E:E,'มหาชัย(2)'!B20,Data!F:F)*J20</f>
        <v>0</v>
      </c>
      <c r="L20" s="49">
        <f t="shared" si="1"/>
        <v>0</v>
      </c>
      <c r="M20" s="50">
        <f t="shared" si="2"/>
        <v>0</v>
      </c>
      <c r="N20" s="33" t="e">
        <f>INDEX(Data!C:C,MATCH(F16,Data!B:B,0))</f>
        <v>#N/A</v>
      </c>
      <c r="O20" s="51" t="e">
        <f t="shared" si="3"/>
        <v>#N/A</v>
      </c>
    </row>
    <row r="21" spans="1:15" ht="44.45" customHeight="1" x14ac:dyDescent="0.2">
      <c r="A21" s="36">
        <v>14</v>
      </c>
      <c r="B21" s="26" t="s">
        <v>93</v>
      </c>
      <c r="C21" s="27">
        <f>SUMIF(Data!E:E,B21,Data!F:F)</f>
        <v>60</v>
      </c>
      <c r="D21" s="28"/>
      <c r="E21" s="29" t="s">
        <v>14</v>
      </c>
      <c r="F21" s="30"/>
      <c r="G21" s="31"/>
      <c r="H21" s="32">
        <f t="shared" si="4"/>
        <v>0</v>
      </c>
      <c r="J21" s="47">
        <f t="shared" si="0"/>
        <v>0</v>
      </c>
      <c r="K21" s="48">
        <f>SUMIF(Data!E:E,'มหาชัย(2)'!B21,Data!F:F)*J21</f>
        <v>0</v>
      </c>
      <c r="L21" s="49">
        <f t="shared" si="1"/>
        <v>0</v>
      </c>
      <c r="M21" s="50">
        <f t="shared" si="2"/>
        <v>0</v>
      </c>
      <c r="N21" s="33" t="e">
        <f>INDEX(Data!C:C,MATCH(F17,Data!B:B,0))</f>
        <v>#N/A</v>
      </c>
      <c r="O21" s="51" t="e">
        <f t="shared" si="3"/>
        <v>#N/A</v>
      </c>
    </row>
    <row r="22" spans="1:15" ht="44.45" customHeight="1" x14ac:dyDescent="0.2">
      <c r="A22" s="36">
        <v>15</v>
      </c>
      <c r="B22" s="26" t="s">
        <v>94</v>
      </c>
      <c r="C22" s="27">
        <f>SUMIF(Data!E:E,B22,Data!F:F)</f>
        <v>55</v>
      </c>
      <c r="D22" s="28"/>
      <c r="E22" s="29" t="s">
        <v>14</v>
      </c>
      <c r="F22" s="30"/>
      <c r="G22" s="31"/>
      <c r="H22" s="32">
        <f t="shared" si="4"/>
        <v>0</v>
      </c>
      <c r="J22" s="47">
        <f t="shared" si="0"/>
        <v>0</v>
      </c>
      <c r="K22" s="48">
        <f>SUMIF(Data!E:E,'มหาชัย(2)'!B22,Data!F:F)*J22</f>
        <v>0</v>
      </c>
      <c r="L22" s="49">
        <f t="shared" si="1"/>
        <v>0</v>
      </c>
      <c r="M22" s="50">
        <f t="shared" si="2"/>
        <v>0</v>
      </c>
      <c r="N22" s="33" t="e">
        <f>INDEX(Data!C:C,MATCH(F18,Data!B:B,0))</f>
        <v>#N/A</v>
      </c>
      <c r="O22" s="51" t="e">
        <f t="shared" si="3"/>
        <v>#N/A</v>
      </c>
    </row>
    <row r="23" spans="1:15" ht="44.45" customHeight="1" x14ac:dyDescent="0.2">
      <c r="A23" s="36">
        <v>16</v>
      </c>
      <c r="B23" s="26" t="s">
        <v>95</v>
      </c>
      <c r="C23" s="27">
        <f>SUMIF(Data!E:E,B23,Data!F:F)</f>
        <v>50</v>
      </c>
      <c r="D23" s="28"/>
      <c r="E23" s="29" t="s">
        <v>14</v>
      </c>
      <c r="F23" s="30"/>
      <c r="G23" s="31"/>
      <c r="H23" s="32">
        <f t="shared" si="4"/>
        <v>0</v>
      </c>
      <c r="J23" s="47">
        <f t="shared" si="0"/>
        <v>0</v>
      </c>
      <c r="K23" s="48">
        <f>SUMIF(Data!E:E,'มหาชัย(2)'!B23,Data!F:F)*J23</f>
        <v>0</v>
      </c>
      <c r="L23" s="49">
        <f t="shared" si="1"/>
        <v>0</v>
      </c>
      <c r="M23" s="50">
        <f t="shared" si="2"/>
        <v>0</v>
      </c>
      <c r="N23" s="33" t="e">
        <f>INDEX(Data!C:C,MATCH(F19,Data!B:B,0))</f>
        <v>#N/A</v>
      </c>
      <c r="O23" s="51" t="e">
        <f t="shared" si="3"/>
        <v>#N/A</v>
      </c>
    </row>
    <row r="24" spans="1:15" ht="44.45" customHeight="1" x14ac:dyDescent="0.2">
      <c r="A24" s="36">
        <v>17</v>
      </c>
      <c r="B24" s="26" t="s">
        <v>98</v>
      </c>
      <c r="C24" s="27">
        <f>SUMIF(Data!E:E,B24,Data!F:F)</f>
        <v>55</v>
      </c>
      <c r="D24" s="28"/>
      <c r="E24" s="29" t="s">
        <v>14</v>
      </c>
      <c r="F24" s="30"/>
      <c r="G24" s="31"/>
      <c r="H24" s="32">
        <f t="shared" si="4"/>
        <v>0</v>
      </c>
      <c r="J24" s="47">
        <f t="shared" si="0"/>
        <v>0</v>
      </c>
      <c r="K24" s="48">
        <f>SUMIF(Data!E:E,'มหาชัย(2)'!B24,Data!F:F)*J24</f>
        <v>0</v>
      </c>
      <c r="L24" s="49">
        <f t="shared" si="1"/>
        <v>0</v>
      </c>
      <c r="M24" s="50">
        <f t="shared" si="2"/>
        <v>0</v>
      </c>
      <c r="N24" s="33" t="e">
        <f>INDEX(Data!C:C,MATCH(F20,Data!B:B,0))</f>
        <v>#N/A</v>
      </c>
      <c r="O24" s="51" t="e">
        <f t="shared" si="3"/>
        <v>#N/A</v>
      </c>
    </row>
    <row r="25" spans="1:15" ht="44.45" customHeight="1" x14ac:dyDescent="0.2">
      <c r="A25" s="36">
        <v>18</v>
      </c>
      <c r="B25" s="26" t="s">
        <v>99</v>
      </c>
      <c r="C25" s="27">
        <f>SUMIF(Data!E:E,B25,Data!F:F)</f>
        <v>55</v>
      </c>
      <c r="D25" s="28"/>
      <c r="E25" s="29" t="s">
        <v>14</v>
      </c>
      <c r="F25" s="30"/>
      <c r="G25" s="31"/>
      <c r="H25" s="32">
        <f t="shared" si="4"/>
        <v>0</v>
      </c>
      <c r="J25" s="47">
        <f t="shared" si="0"/>
        <v>0</v>
      </c>
      <c r="K25" s="48">
        <f>SUMIF(Data!E:E,'มหาชัย(2)'!B25,Data!F:F)*J25</f>
        <v>0</v>
      </c>
      <c r="L25" s="49">
        <f t="shared" si="1"/>
        <v>0</v>
      </c>
      <c r="M25" s="50">
        <f t="shared" si="2"/>
        <v>0</v>
      </c>
      <c r="N25" s="33" t="e">
        <f>INDEX(Data!C:C,MATCH(F21,Data!B:B,0))</f>
        <v>#N/A</v>
      </c>
      <c r="O25" s="51" t="e">
        <f t="shared" si="3"/>
        <v>#N/A</v>
      </c>
    </row>
    <row r="26" spans="1:15" ht="44.45" customHeight="1" x14ac:dyDescent="0.2">
      <c r="A26" s="36">
        <v>19</v>
      </c>
      <c r="B26" s="26" t="s">
        <v>100</v>
      </c>
      <c r="C26" s="27">
        <f>SUMIF(Data!E:E,B26,Data!F:F)</f>
        <v>81</v>
      </c>
      <c r="D26" s="28"/>
      <c r="E26" s="29" t="s">
        <v>14</v>
      </c>
      <c r="F26" s="30"/>
      <c r="G26" s="31"/>
      <c r="H26" s="32">
        <f t="shared" si="4"/>
        <v>0</v>
      </c>
      <c r="J26" s="47">
        <f t="shared" si="0"/>
        <v>0</v>
      </c>
      <c r="K26" s="48">
        <f>SUMIF(Data!E:E,'มหาชัย(2)'!B26,Data!F:F)*J26</f>
        <v>0</v>
      </c>
      <c r="L26" s="49">
        <f t="shared" si="1"/>
        <v>0</v>
      </c>
      <c r="M26" s="50">
        <f t="shared" si="2"/>
        <v>0</v>
      </c>
      <c r="N26" s="33" t="e">
        <f>INDEX(Data!C:C,MATCH(F22,Data!B:B,0))</f>
        <v>#N/A</v>
      </c>
      <c r="O26" s="51" t="e">
        <f t="shared" si="3"/>
        <v>#N/A</v>
      </c>
    </row>
    <row r="27" spans="1:15" ht="54.6" customHeight="1" x14ac:dyDescent="0.2">
      <c r="A27" s="60" t="s">
        <v>5</v>
      </c>
      <c r="B27" s="60"/>
      <c r="C27" s="40"/>
      <c r="D27" s="41"/>
      <c r="E27" s="42"/>
      <c r="F27" s="42"/>
      <c r="G27" s="42"/>
      <c r="H27" s="1"/>
      <c r="J27" s="14" t="s">
        <v>39</v>
      </c>
      <c r="K27" s="14" t="s">
        <v>41</v>
      </c>
      <c r="L27" s="14" t="s">
        <v>57</v>
      </c>
    </row>
    <row r="28" spans="1:15" ht="20.100000000000001" customHeight="1" x14ac:dyDescent="0.2">
      <c r="J28" s="13">
        <f>SUM($J$8:$J$26)</f>
        <v>0</v>
      </c>
      <c r="K28" s="13">
        <f>SUM($L$8:$L$26)</f>
        <v>0</v>
      </c>
      <c r="L28" s="13">
        <f>SUM(J28:K28)</f>
        <v>0</v>
      </c>
    </row>
    <row r="29" spans="1:15" ht="20.100000000000001" customHeight="1" x14ac:dyDescent="0.2">
      <c r="L29" s="13"/>
    </row>
    <row r="30" spans="1:15" ht="61.5" customHeight="1" x14ac:dyDescent="0.25">
      <c r="A30" s="8"/>
      <c r="B30" s="9" t="s">
        <v>29</v>
      </c>
      <c r="C30" s="9"/>
      <c r="G30" s="8" t="s">
        <v>31</v>
      </c>
      <c r="K30" s="11"/>
      <c r="L30" s="8"/>
      <c r="N30" s="8"/>
      <c r="O30" s="8"/>
    </row>
    <row r="31" spans="1:15" ht="61.5" customHeight="1" x14ac:dyDescent="0.25">
      <c r="A31" s="8"/>
      <c r="B31" s="8" t="s">
        <v>28</v>
      </c>
      <c r="C31" s="8"/>
      <c r="F31" s="8"/>
      <c r="G31" s="8" t="s">
        <v>32</v>
      </c>
      <c r="H31" s="8"/>
      <c r="K31" s="11"/>
      <c r="L31" s="8"/>
      <c r="N31" s="8"/>
      <c r="O31" s="8"/>
    </row>
    <row r="32" spans="1:15" ht="61.5" customHeight="1" x14ac:dyDescent="0.25">
      <c r="A32" s="8"/>
      <c r="B32" s="8" t="s">
        <v>30</v>
      </c>
      <c r="C32" s="8"/>
      <c r="F32" s="8"/>
      <c r="G32" s="8" t="s">
        <v>33</v>
      </c>
      <c r="H32" s="9"/>
      <c r="J32" s="11"/>
      <c r="L32" s="9"/>
      <c r="N32" s="9"/>
      <c r="O32" s="9"/>
    </row>
    <row r="33" ht="20.100000000000001" customHeight="1" x14ac:dyDescent="0.2"/>
    <row r="34" ht="20.100000000000001" customHeight="1" x14ac:dyDescent="0.2"/>
    <row r="35" ht="20.100000000000001" customHeight="1" x14ac:dyDescent="0.2"/>
    <row r="36" ht="20.100000000000001" customHeight="1" x14ac:dyDescent="0.2"/>
    <row r="37" ht="20.100000000000001" customHeight="1" x14ac:dyDescent="0.2"/>
    <row r="38" ht="20.100000000000001" customHeight="1" x14ac:dyDescent="0.2"/>
    <row r="39" ht="20.100000000000001" customHeight="1" x14ac:dyDescent="0.2"/>
    <row r="40" ht="20.100000000000001" customHeight="1" x14ac:dyDescent="0.2"/>
    <row r="41" ht="20.100000000000001" customHeight="1" x14ac:dyDescent="0.2"/>
  </sheetData>
  <mergeCells count="13">
    <mergeCell ref="A1:F2"/>
    <mergeCell ref="A3:H3"/>
    <mergeCell ref="D4:E4"/>
    <mergeCell ref="F4:H4"/>
    <mergeCell ref="A5:A6"/>
    <mergeCell ref="B5:B6"/>
    <mergeCell ref="D5:E5"/>
    <mergeCell ref="F5:H6"/>
    <mergeCell ref="J5:M5"/>
    <mergeCell ref="D6:E6"/>
    <mergeCell ref="J6:K6"/>
    <mergeCell ref="L6:M6"/>
    <mergeCell ref="A27:B27"/>
  </mergeCells>
  <conditionalFormatting sqref="H8:H26">
    <cfRule type="cellIs" dxfId="35" priority="5" operator="lessThan">
      <formula>-1</formula>
    </cfRule>
    <cfRule type="cellIs" dxfId="34" priority="6" operator="equal">
      <formula>"-"</formula>
    </cfRule>
  </conditionalFormatting>
  <conditionalFormatting sqref="J8:O26">
    <cfRule type="containsErrors" dxfId="33" priority="4">
      <formula>ISERROR(J8)</formula>
    </cfRule>
  </conditionalFormatting>
  <conditionalFormatting sqref="O8:O26">
    <cfRule type="cellIs" dxfId="32" priority="1" operator="lessThan">
      <formula>0</formula>
    </cfRule>
    <cfRule type="cellIs" dxfId="31" priority="2" operator="greaterThan">
      <formula>15</formula>
    </cfRule>
    <cfRule type="cellIs" dxfId="30" priority="3" operator="lessThan">
      <formula>16</formula>
    </cfRule>
  </conditionalFormatting>
  <pageMargins left="0.7" right="0.7" top="0.75" bottom="0.75" header="0.3" footer="0.3"/>
  <pageSetup paperSize="9" scale="38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69AF112-C25B-43CC-8658-083F6AA6CC01}">
          <x14:formula1>
            <xm:f>Data!$B$2:$B$22</xm:f>
          </x14:formula1>
          <xm:sqref>F4</xm:sqref>
        </x14:dataValidation>
        <x14:dataValidation type="list" allowBlank="1" showInputMessage="1" showErrorMessage="1" xr:uid="{443A769E-DEE3-4D7F-9ED0-33A01FAEB2E6}">
          <x14:formula1>
            <xm:f>Data!$G$2:$G$6</xm:f>
          </x14:formula1>
          <xm:sqref>E8:E26</xm:sqref>
        </x14:dataValidation>
        <x14:dataValidation type="list" allowBlank="1" showInputMessage="1" showErrorMessage="1" xr:uid="{22FF312E-24F4-4AC5-863C-4E6CD98E8BC9}">
          <x14:formula1>
            <xm:f>Data!$E$2:$E$37</xm:f>
          </x14:formula1>
          <xm:sqref>B8:B26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1DEE0-2E5F-4B22-B98E-ED521085CBA5}">
  <sheetPr>
    <tabColor rgb="FF92D050"/>
    <pageSetUpPr fitToPage="1"/>
  </sheetPr>
  <dimension ref="A1:O41"/>
  <sheetViews>
    <sheetView topLeftCell="A5" zoomScale="55" zoomScaleNormal="55" zoomScaleSheetLayoutView="50" workbookViewId="0">
      <selection activeCell="D26" sqref="D26"/>
    </sheetView>
  </sheetViews>
  <sheetFormatPr defaultRowHeight="14.25" x14ac:dyDescent="0.2"/>
  <cols>
    <col min="2" max="2" width="60.875" customWidth="1"/>
    <col min="3" max="3" width="9.375" customWidth="1"/>
    <col min="4" max="4" width="19.625" customWidth="1"/>
    <col min="5" max="5" width="10.375" customWidth="1"/>
    <col min="6" max="7" width="22.125" customWidth="1"/>
    <col min="8" max="8" width="20.875" customWidth="1"/>
    <col min="9" max="9" width="1.875" customWidth="1"/>
    <col min="10" max="13" width="13.875" customWidth="1"/>
    <col min="14" max="14" width="8.75" customWidth="1"/>
    <col min="15" max="15" width="18.125" customWidth="1"/>
  </cols>
  <sheetData>
    <row r="1" spans="1:15" ht="39.6" customHeight="1" x14ac:dyDescent="0.2">
      <c r="A1" s="61" t="s">
        <v>19</v>
      </c>
      <c r="B1" s="61"/>
      <c r="C1" s="61"/>
      <c r="D1" s="61"/>
      <c r="E1" s="61"/>
      <c r="F1" s="61"/>
      <c r="G1" s="6" t="s">
        <v>17</v>
      </c>
      <c r="H1" s="5" t="s">
        <v>58</v>
      </c>
    </row>
    <row r="2" spans="1:15" ht="40.5" customHeight="1" thickBot="1" x14ac:dyDescent="0.25">
      <c r="A2" s="62"/>
      <c r="B2" s="62"/>
      <c r="C2" s="62"/>
      <c r="D2" s="62"/>
      <c r="E2" s="62"/>
      <c r="F2" s="62"/>
      <c r="G2" s="6" t="s">
        <v>27</v>
      </c>
      <c r="H2" s="15"/>
    </row>
    <row r="3" spans="1:15" ht="48.6" customHeight="1" x14ac:dyDescent="0.2">
      <c r="A3" s="63" t="s">
        <v>1</v>
      </c>
      <c r="B3" s="64"/>
      <c r="C3" s="64"/>
      <c r="D3" s="64"/>
      <c r="E3" s="64"/>
      <c r="F3" s="64"/>
      <c r="G3" s="64"/>
      <c r="H3" s="65"/>
    </row>
    <row r="4" spans="1:15" ht="54.95" customHeight="1" x14ac:dyDescent="0.2">
      <c r="A4" s="33" t="s">
        <v>0</v>
      </c>
      <c r="B4" s="34" t="s">
        <v>21</v>
      </c>
      <c r="C4" s="35"/>
      <c r="D4" s="66" t="s">
        <v>6</v>
      </c>
      <c r="E4" s="66"/>
      <c r="F4" s="57" t="s">
        <v>47</v>
      </c>
      <c r="G4" s="57"/>
      <c r="H4" s="57"/>
    </row>
    <row r="5" spans="1:15" ht="30.95" customHeight="1" x14ac:dyDescent="0.2">
      <c r="A5" s="55" t="s">
        <v>2</v>
      </c>
      <c r="B5" s="67"/>
      <c r="C5" s="37"/>
      <c r="D5" s="55" t="s">
        <v>18</v>
      </c>
      <c r="E5" s="55"/>
      <c r="F5" s="68"/>
      <c r="G5" s="68"/>
      <c r="H5" s="68"/>
      <c r="J5" s="55" t="s">
        <v>38</v>
      </c>
      <c r="K5" s="55"/>
      <c r="L5" s="55"/>
      <c r="M5" s="55"/>
    </row>
    <row r="6" spans="1:15" ht="30.6" customHeight="1" x14ac:dyDescent="0.2">
      <c r="A6" s="55"/>
      <c r="B6" s="67"/>
      <c r="C6" s="37"/>
      <c r="D6" s="56"/>
      <c r="E6" s="57"/>
      <c r="F6" s="68"/>
      <c r="G6" s="68"/>
      <c r="H6" s="68"/>
      <c r="J6" s="58" t="s">
        <v>39</v>
      </c>
      <c r="K6" s="58"/>
      <c r="L6" s="59" t="s">
        <v>41</v>
      </c>
      <c r="M6" s="59"/>
    </row>
    <row r="7" spans="1:15" s="7" customFormat="1" ht="36.6" customHeight="1" x14ac:dyDescent="0.25">
      <c r="A7" s="38" t="s">
        <v>3</v>
      </c>
      <c r="B7" s="38" t="s">
        <v>4</v>
      </c>
      <c r="C7" s="38" t="s">
        <v>42</v>
      </c>
      <c r="D7" s="38" t="s">
        <v>11</v>
      </c>
      <c r="E7" s="38" t="s">
        <v>12</v>
      </c>
      <c r="F7" s="38" t="s">
        <v>9</v>
      </c>
      <c r="G7" s="38" t="s">
        <v>10</v>
      </c>
      <c r="H7" s="39" t="s">
        <v>24</v>
      </c>
      <c r="J7" s="43" t="s">
        <v>40</v>
      </c>
      <c r="K7" s="44" t="s">
        <v>14</v>
      </c>
      <c r="L7" s="45" t="s">
        <v>40</v>
      </c>
      <c r="M7" s="46" t="s">
        <v>14</v>
      </c>
      <c r="N7" s="42" t="s">
        <v>25</v>
      </c>
      <c r="O7" s="42" t="s">
        <v>26</v>
      </c>
    </row>
    <row r="8" spans="1:15" ht="44.45" customHeight="1" x14ac:dyDescent="0.2">
      <c r="A8" s="36">
        <v>1</v>
      </c>
      <c r="B8" s="26" t="s">
        <v>77</v>
      </c>
      <c r="C8" s="27">
        <f>SUMIF(Data!E:E,B8,Data!F:F)</f>
        <v>42</v>
      </c>
      <c r="D8" s="28"/>
      <c r="E8" s="29" t="s">
        <v>14</v>
      </c>
      <c r="F8" s="30"/>
      <c r="G8" s="31"/>
      <c r="H8" s="32">
        <f>+G8-$D$6</f>
        <v>0</v>
      </c>
      <c r="J8" s="47">
        <f t="shared" ref="J8:J26" si="0">ROUNDDOWN((D8/C8),0)</f>
        <v>0</v>
      </c>
      <c r="K8" s="48">
        <f>SUMIF(Data!E:E,'มหาชัย(2)'!B8,Data!F:F)*J8</f>
        <v>0</v>
      </c>
      <c r="L8" s="49">
        <f t="shared" ref="L8:L26" si="1">ROUNDUP((M8/C8),0)</f>
        <v>0</v>
      </c>
      <c r="M8" s="50">
        <f t="shared" ref="M8:M26" si="2">D8-K8</f>
        <v>0</v>
      </c>
      <c r="N8" s="33">
        <f>INDEX(Data!C:C,MATCH(F4,Data!B:B,0))</f>
        <v>60</v>
      </c>
      <c r="O8" s="51">
        <f t="shared" ref="O8:O26" si="3">H8-N8</f>
        <v>-60</v>
      </c>
    </row>
    <row r="9" spans="1:15" ht="44.45" customHeight="1" x14ac:dyDescent="0.2">
      <c r="A9" s="36">
        <v>2</v>
      </c>
      <c r="B9" s="26" t="s">
        <v>66</v>
      </c>
      <c r="C9" s="27">
        <f>SUMIF(Data!E:E,B9,Data!F:F)</f>
        <v>36</v>
      </c>
      <c r="D9" s="28"/>
      <c r="E9" s="29" t="s">
        <v>14</v>
      </c>
      <c r="F9" s="30"/>
      <c r="G9" s="31"/>
      <c r="H9" s="32">
        <f t="shared" ref="H9:H26" si="4">+G9-$D$6</f>
        <v>0</v>
      </c>
      <c r="J9" s="47">
        <f t="shared" si="0"/>
        <v>0</v>
      </c>
      <c r="K9" s="48">
        <f>SUMIF(Data!E:E,'มหาชัย(2)'!B9,Data!F:F)*J9</f>
        <v>0</v>
      </c>
      <c r="L9" s="49">
        <f t="shared" si="1"/>
        <v>0</v>
      </c>
      <c r="M9" s="50">
        <f t="shared" si="2"/>
        <v>0</v>
      </c>
      <c r="N9" s="33" t="e">
        <f>INDEX(Data!C:C,MATCH(F5,Data!B:B,0))</f>
        <v>#N/A</v>
      </c>
      <c r="O9" s="51" t="e">
        <f t="shared" si="3"/>
        <v>#N/A</v>
      </c>
    </row>
    <row r="10" spans="1:15" ht="44.45" customHeight="1" x14ac:dyDescent="0.2">
      <c r="A10" s="36">
        <v>3</v>
      </c>
      <c r="B10" s="26" t="s">
        <v>79</v>
      </c>
      <c r="C10" s="27">
        <f>SUMIF(Data!E:E,B10,Data!F:F)</f>
        <v>42</v>
      </c>
      <c r="D10" s="28"/>
      <c r="E10" s="29" t="s">
        <v>14</v>
      </c>
      <c r="F10" s="30"/>
      <c r="G10" s="31"/>
      <c r="H10" s="32">
        <f t="shared" si="4"/>
        <v>0</v>
      </c>
      <c r="J10" s="47">
        <f t="shared" si="0"/>
        <v>0</v>
      </c>
      <c r="K10" s="48">
        <f>SUMIF(Data!E:E,'มหาชัย(2)'!B10,Data!F:F)*J10</f>
        <v>0</v>
      </c>
      <c r="L10" s="49">
        <f t="shared" si="1"/>
        <v>0</v>
      </c>
      <c r="M10" s="50">
        <f t="shared" si="2"/>
        <v>0</v>
      </c>
      <c r="N10" s="33" t="e">
        <f>INDEX(Data!C:C,MATCH(F6,Data!B:B,0))</f>
        <v>#N/A</v>
      </c>
      <c r="O10" s="51" t="e">
        <f t="shared" si="3"/>
        <v>#N/A</v>
      </c>
    </row>
    <row r="11" spans="1:15" ht="44.45" customHeight="1" x14ac:dyDescent="0.2">
      <c r="A11" s="36">
        <v>4</v>
      </c>
      <c r="B11" s="26" t="s">
        <v>80</v>
      </c>
      <c r="C11" s="27">
        <f>SUMIF(Data!E:E,B11,Data!F:F)</f>
        <v>50</v>
      </c>
      <c r="D11" s="28"/>
      <c r="E11" s="29" t="s">
        <v>14</v>
      </c>
      <c r="F11" s="30"/>
      <c r="G11" s="31"/>
      <c r="H11" s="32">
        <f t="shared" si="4"/>
        <v>0</v>
      </c>
      <c r="J11" s="47">
        <f t="shared" si="0"/>
        <v>0</v>
      </c>
      <c r="K11" s="48">
        <f>SUMIF(Data!E:E,'มหาชัย(2)'!B11,Data!F:F)*J11</f>
        <v>0</v>
      </c>
      <c r="L11" s="49">
        <f t="shared" si="1"/>
        <v>0</v>
      </c>
      <c r="M11" s="50">
        <f t="shared" si="2"/>
        <v>0</v>
      </c>
      <c r="N11" s="33" t="e">
        <f>INDEX(Data!C:C,MATCH(F7,Data!B:B,0))</f>
        <v>#N/A</v>
      </c>
      <c r="O11" s="51" t="e">
        <f t="shared" si="3"/>
        <v>#N/A</v>
      </c>
    </row>
    <row r="12" spans="1:15" ht="44.45" customHeight="1" x14ac:dyDescent="0.2">
      <c r="A12" s="36">
        <v>5</v>
      </c>
      <c r="B12" s="26" t="s">
        <v>71</v>
      </c>
      <c r="C12" s="27">
        <f>SUMIF(Data!E:E,B12,Data!F:F)</f>
        <v>81</v>
      </c>
      <c r="D12" s="28"/>
      <c r="E12" s="29" t="s">
        <v>14</v>
      </c>
      <c r="F12" s="30"/>
      <c r="G12" s="31"/>
      <c r="H12" s="32">
        <f t="shared" si="4"/>
        <v>0</v>
      </c>
      <c r="J12" s="47">
        <f t="shared" si="0"/>
        <v>0</v>
      </c>
      <c r="K12" s="48">
        <f>SUMIF(Data!E:E,'มหาชัย(2)'!B12,Data!F:F)*J12</f>
        <v>0</v>
      </c>
      <c r="L12" s="49">
        <f t="shared" si="1"/>
        <v>0</v>
      </c>
      <c r="M12" s="50">
        <f t="shared" si="2"/>
        <v>0</v>
      </c>
      <c r="N12" s="33" t="e">
        <f>INDEX(Data!C:C,MATCH(F8,Data!B:B,0))</f>
        <v>#N/A</v>
      </c>
      <c r="O12" s="51" t="e">
        <f t="shared" si="3"/>
        <v>#N/A</v>
      </c>
    </row>
    <row r="13" spans="1:15" ht="44.45" customHeight="1" x14ac:dyDescent="0.2">
      <c r="A13" s="36">
        <v>6</v>
      </c>
      <c r="B13" s="26" t="s">
        <v>84</v>
      </c>
      <c r="C13" s="27">
        <f>SUMIF(Data!E:E,B13,Data!F:F)</f>
        <v>42</v>
      </c>
      <c r="D13" s="28"/>
      <c r="E13" s="29" t="s">
        <v>14</v>
      </c>
      <c r="F13" s="30"/>
      <c r="G13" s="31"/>
      <c r="H13" s="32">
        <f t="shared" si="4"/>
        <v>0</v>
      </c>
      <c r="J13" s="47">
        <f t="shared" si="0"/>
        <v>0</v>
      </c>
      <c r="K13" s="48">
        <f>SUMIF(Data!E:E,'มหาชัย(2)'!B13,Data!F:F)*J13</f>
        <v>0</v>
      </c>
      <c r="L13" s="49">
        <f t="shared" si="1"/>
        <v>0</v>
      </c>
      <c r="M13" s="50">
        <f t="shared" si="2"/>
        <v>0</v>
      </c>
      <c r="N13" s="33" t="e">
        <f>INDEX(Data!C:C,MATCH(F9,Data!B:B,0))</f>
        <v>#N/A</v>
      </c>
      <c r="O13" s="51" t="e">
        <f t="shared" si="3"/>
        <v>#N/A</v>
      </c>
    </row>
    <row r="14" spans="1:15" ht="44.45" customHeight="1" x14ac:dyDescent="0.2">
      <c r="A14" s="36">
        <v>7</v>
      </c>
      <c r="B14" s="26" t="s">
        <v>85</v>
      </c>
      <c r="C14" s="27">
        <f>SUMIF(Data!E:E,B14,Data!F:F)</f>
        <v>32</v>
      </c>
      <c r="D14" s="28"/>
      <c r="E14" s="29" t="s">
        <v>14</v>
      </c>
      <c r="F14" s="30"/>
      <c r="G14" s="31"/>
      <c r="H14" s="32">
        <f t="shared" si="4"/>
        <v>0</v>
      </c>
      <c r="J14" s="47">
        <f t="shared" si="0"/>
        <v>0</v>
      </c>
      <c r="K14" s="48">
        <f>SUMIF(Data!E:E,'มหาชัย(2)'!B14,Data!F:F)*J14</f>
        <v>0</v>
      </c>
      <c r="L14" s="49">
        <f t="shared" si="1"/>
        <v>0</v>
      </c>
      <c r="M14" s="50">
        <f t="shared" si="2"/>
        <v>0</v>
      </c>
      <c r="N14" s="33" t="e">
        <f>INDEX(Data!C:C,MATCH(F10,Data!B:B,0))</f>
        <v>#N/A</v>
      </c>
      <c r="O14" s="51" t="e">
        <f t="shared" si="3"/>
        <v>#N/A</v>
      </c>
    </row>
    <row r="15" spans="1:15" ht="44.45" customHeight="1" x14ac:dyDescent="0.2">
      <c r="A15" s="36">
        <v>8</v>
      </c>
      <c r="B15" s="26" t="s">
        <v>76</v>
      </c>
      <c r="C15" s="27">
        <f>SUMIF(Data!E:E,B15,Data!F:F)</f>
        <v>70</v>
      </c>
      <c r="D15" s="28"/>
      <c r="E15" s="29" t="s">
        <v>14</v>
      </c>
      <c r="F15" s="30"/>
      <c r="G15" s="31"/>
      <c r="H15" s="32">
        <f t="shared" si="4"/>
        <v>0</v>
      </c>
      <c r="J15" s="47">
        <f t="shared" si="0"/>
        <v>0</v>
      </c>
      <c r="K15" s="48">
        <f>SUMIF(Data!E:E,'มหาชัย(2)'!B15,Data!F:F)*J15</f>
        <v>0</v>
      </c>
      <c r="L15" s="49">
        <f t="shared" si="1"/>
        <v>0</v>
      </c>
      <c r="M15" s="50">
        <f t="shared" si="2"/>
        <v>0</v>
      </c>
      <c r="N15" s="33" t="e">
        <f>INDEX(Data!C:C,MATCH(F11,Data!B:B,0))</f>
        <v>#N/A</v>
      </c>
      <c r="O15" s="51" t="e">
        <f t="shared" si="3"/>
        <v>#N/A</v>
      </c>
    </row>
    <row r="16" spans="1:15" ht="44.45" customHeight="1" x14ac:dyDescent="0.2">
      <c r="A16" s="36">
        <v>9</v>
      </c>
      <c r="B16" s="26" t="s">
        <v>89</v>
      </c>
      <c r="C16" s="27">
        <f>SUMIF(Data!E:E,B16,Data!F:F)</f>
        <v>45</v>
      </c>
      <c r="D16" s="28"/>
      <c r="E16" s="29" t="s">
        <v>14</v>
      </c>
      <c r="F16" s="30"/>
      <c r="G16" s="31"/>
      <c r="H16" s="32">
        <f t="shared" si="4"/>
        <v>0</v>
      </c>
      <c r="J16" s="47">
        <f t="shared" si="0"/>
        <v>0</v>
      </c>
      <c r="K16" s="48">
        <f>SUMIF(Data!E:E,'มหาชัย(2)'!B16,Data!F:F)*J16</f>
        <v>0</v>
      </c>
      <c r="L16" s="49">
        <f t="shared" si="1"/>
        <v>0</v>
      </c>
      <c r="M16" s="50">
        <f t="shared" si="2"/>
        <v>0</v>
      </c>
      <c r="N16" s="33" t="e">
        <f>INDEX(Data!C:C,MATCH(F12,Data!B:B,0))</f>
        <v>#N/A</v>
      </c>
      <c r="O16" s="51" t="e">
        <f t="shared" si="3"/>
        <v>#N/A</v>
      </c>
    </row>
    <row r="17" spans="1:15" ht="44.45" customHeight="1" x14ac:dyDescent="0.2">
      <c r="A17" s="36">
        <v>10</v>
      </c>
      <c r="B17" s="26" t="s">
        <v>88</v>
      </c>
      <c r="C17" s="27">
        <f>SUMIF(Data!E:E,B17,Data!F:F)</f>
        <v>48</v>
      </c>
      <c r="D17" s="28"/>
      <c r="E17" s="29" t="s">
        <v>14</v>
      </c>
      <c r="F17" s="30"/>
      <c r="G17" s="31"/>
      <c r="H17" s="32">
        <f t="shared" si="4"/>
        <v>0</v>
      </c>
      <c r="J17" s="47">
        <f t="shared" si="0"/>
        <v>0</v>
      </c>
      <c r="K17" s="48">
        <f>SUMIF(Data!E:E,'มหาชัย(2)'!B17,Data!F:F)*J17</f>
        <v>0</v>
      </c>
      <c r="L17" s="49">
        <f t="shared" si="1"/>
        <v>0</v>
      </c>
      <c r="M17" s="50">
        <f t="shared" si="2"/>
        <v>0</v>
      </c>
      <c r="N17" s="33" t="e">
        <f>INDEX(Data!C:C,MATCH(F13,Data!B:B,0))</f>
        <v>#N/A</v>
      </c>
      <c r="O17" s="51" t="e">
        <f t="shared" si="3"/>
        <v>#N/A</v>
      </c>
    </row>
    <row r="18" spans="1:15" ht="44.45" customHeight="1" x14ac:dyDescent="0.2">
      <c r="A18" s="36">
        <v>11</v>
      </c>
      <c r="B18" s="26" t="s">
        <v>87</v>
      </c>
      <c r="C18" s="27">
        <f>SUMIF(Data!E:E,B18,Data!F:F)</f>
        <v>48</v>
      </c>
      <c r="D18" s="28"/>
      <c r="E18" s="29" t="s">
        <v>14</v>
      </c>
      <c r="F18" s="30"/>
      <c r="G18" s="31"/>
      <c r="H18" s="32">
        <f t="shared" si="4"/>
        <v>0</v>
      </c>
      <c r="J18" s="47">
        <f t="shared" si="0"/>
        <v>0</v>
      </c>
      <c r="K18" s="48">
        <f>SUMIF(Data!E:E,'มหาชัย(2)'!B18,Data!F:F)*J18</f>
        <v>0</v>
      </c>
      <c r="L18" s="49">
        <f t="shared" si="1"/>
        <v>0</v>
      </c>
      <c r="M18" s="50">
        <f t="shared" si="2"/>
        <v>0</v>
      </c>
      <c r="N18" s="33" t="e">
        <f>INDEX(Data!C:C,MATCH(F14,Data!B:B,0))</f>
        <v>#N/A</v>
      </c>
      <c r="O18" s="51" t="e">
        <f t="shared" si="3"/>
        <v>#N/A</v>
      </c>
    </row>
    <row r="19" spans="1:15" ht="44.45" customHeight="1" x14ac:dyDescent="0.2">
      <c r="A19" s="36">
        <v>12</v>
      </c>
      <c r="B19" s="26" t="s">
        <v>90</v>
      </c>
      <c r="C19" s="27">
        <f>SUMIF(Data!E:E,B19,Data!F:F)</f>
        <v>60</v>
      </c>
      <c r="D19" s="28"/>
      <c r="E19" s="29" t="s">
        <v>14</v>
      </c>
      <c r="F19" s="30"/>
      <c r="G19" s="31"/>
      <c r="H19" s="32">
        <f t="shared" si="4"/>
        <v>0</v>
      </c>
      <c r="J19" s="47">
        <f t="shared" si="0"/>
        <v>0</v>
      </c>
      <c r="K19" s="48">
        <f>SUMIF(Data!E:E,'มหาชัย(2)'!B19,Data!F:F)*J19</f>
        <v>0</v>
      </c>
      <c r="L19" s="49">
        <f t="shared" si="1"/>
        <v>0</v>
      </c>
      <c r="M19" s="50">
        <f t="shared" si="2"/>
        <v>0</v>
      </c>
      <c r="N19" s="33" t="e">
        <f>INDEX(Data!C:C,MATCH(F15,Data!B:B,0))</f>
        <v>#N/A</v>
      </c>
      <c r="O19" s="51" t="e">
        <f t="shared" si="3"/>
        <v>#N/A</v>
      </c>
    </row>
    <row r="20" spans="1:15" ht="44.45" customHeight="1" x14ac:dyDescent="0.2">
      <c r="A20" s="36">
        <v>13</v>
      </c>
      <c r="B20" s="26" t="s">
        <v>91</v>
      </c>
      <c r="C20" s="27">
        <f>SUMIF(Data!E:E,B20,Data!F:F)</f>
        <v>50</v>
      </c>
      <c r="D20" s="28"/>
      <c r="E20" s="29" t="s">
        <v>14</v>
      </c>
      <c r="F20" s="30"/>
      <c r="G20" s="31"/>
      <c r="H20" s="32">
        <f t="shared" si="4"/>
        <v>0</v>
      </c>
      <c r="J20" s="47">
        <f t="shared" si="0"/>
        <v>0</v>
      </c>
      <c r="K20" s="48">
        <f>SUMIF(Data!E:E,'มหาชัย(2)'!B20,Data!F:F)*J20</f>
        <v>0</v>
      </c>
      <c r="L20" s="49">
        <f t="shared" si="1"/>
        <v>0</v>
      </c>
      <c r="M20" s="50">
        <f t="shared" si="2"/>
        <v>0</v>
      </c>
      <c r="N20" s="33" t="e">
        <f>INDEX(Data!C:C,MATCH(F16,Data!B:B,0))</f>
        <v>#N/A</v>
      </c>
      <c r="O20" s="51" t="e">
        <f t="shared" si="3"/>
        <v>#N/A</v>
      </c>
    </row>
    <row r="21" spans="1:15" ht="44.45" customHeight="1" x14ac:dyDescent="0.2">
      <c r="A21" s="36">
        <v>14</v>
      </c>
      <c r="B21" s="26" t="s">
        <v>93</v>
      </c>
      <c r="C21" s="27">
        <f>SUMIF(Data!E:E,B21,Data!F:F)</f>
        <v>60</v>
      </c>
      <c r="D21" s="28"/>
      <c r="E21" s="29" t="s">
        <v>14</v>
      </c>
      <c r="F21" s="30"/>
      <c r="G21" s="31"/>
      <c r="H21" s="32">
        <f t="shared" si="4"/>
        <v>0</v>
      </c>
      <c r="J21" s="47">
        <f t="shared" si="0"/>
        <v>0</v>
      </c>
      <c r="K21" s="48">
        <f>SUMIF(Data!E:E,'มหาชัย(2)'!B21,Data!F:F)*J21</f>
        <v>0</v>
      </c>
      <c r="L21" s="49">
        <f t="shared" si="1"/>
        <v>0</v>
      </c>
      <c r="M21" s="50">
        <f t="shared" si="2"/>
        <v>0</v>
      </c>
      <c r="N21" s="33" t="e">
        <f>INDEX(Data!C:C,MATCH(F17,Data!B:B,0))</f>
        <v>#N/A</v>
      </c>
      <c r="O21" s="51" t="e">
        <f t="shared" si="3"/>
        <v>#N/A</v>
      </c>
    </row>
    <row r="22" spans="1:15" ht="44.45" customHeight="1" x14ac:dyDescent="0.2">
      <c r="A22" s="36">
        <v>15</v>
      </c>
      <c r="B22" s="26" t="s">
        <v>94</v>
      </c>
      <c r="C22" s="27">
        <f>SUMIF(Data!E:E,B22,Data!F:F)</f>
        <v>55</v>
      </c>
      <c r="D22" s="28"/>
      <c r="E22" s="29" t="s">
        <v>14</v>
      </c>
      <c r="F22" s="30"/>
      <c r="G22" s="31"/>
      <c r="H22" s="32">
        <f t="shared" si="4"/>
        <v>0</v>
      </c>
      <c r="J22" s="47">
        <f t="shared" si="0"/>
        <v>0</v>
      </c>
      <c r="K22" s="48">
        <f>SUMIF(Data!E:E,'มหาชัย(2)'!B22,Data!F:F)*J22</f>
        <v>0</v>
      </c>
      <c r="L22" s="49">
        <f t="shared" si="1"/>
        <v>0</v>
      </c>
      <c r="M22" s="50">
        <f t="shared" si="2"/>
        <v>0</v>
      </c>
      <c r="N22" s="33" t="e">
        <f>INDEX(Data!C:C,MATCH(F18,Data!B:B,0))</f>
        <v>#N/A</v>
      </c>
      <c r="O22" s="51" t="e">
        <f t="shared" si="3"/>
        <v>#N/A</v>
      </c>
    </row>
    <row r="23" spans="1:15" ht="44.45" customHeight="1" x14ac:dyDescent="0.2">
      <c r="A23" s="36">
        <v>16</v>
      </c>
      <c r="B23" s="26" t="s">
        <v>95</v>
      </c>
      <c r="C23" s="27">
        <f>SUMIF(Data!E:E,B23,Data!F:F)</f>
        <v>50</v>
      </c>
      <c r="D23" s="28"/>
      <c r="E23" s="29" t="s">
        <v>14</v>
      </c>
      <c r="F23" s="30"/>
      <c r="G23" s="31"/>
      <c r="H23" s="32">
        <f t="shared" si="4"/>
        <v>0</v>
      </c>
      <c r="J23" s="47">
        <f t="shared" si="0"/>
        <v>0</v>
      </c>
      <c r="K23" s="48">
        <f>SUMIF(Data!E:E,'มหาชัย(2)'!B23,Data!F:F)*J23</f>
        <v>0</v>
      </c>
      <c r="L23" s="49">
        <f t="shared" si="1"/>
        <v>0</v>
      </c>
      <c r="M23" s="50">
        <f t="shared" si="2"/>
        <v>0</v>
      </c>
      <c r="N23" s="33" t="e">
        <f>INDEX(Data!C:C,MATCH(F19,Data!B:B,0))</f>
        <v>#N/A</v>
      </c>
      <c r="O23" s="51" t="e">
        <f t="shared" si="3"/>
        <v>#N/A</v>
      </c>
    </row>
    <row r="24" spans="1:15" ht="44.45" customHeight="1" x14ac:dyDescent="0.2">
      <c r="A24" s="36">
        <v>17</v>
      </c>
      <c r="B24" s="26" t="s">
        <v>98</v>
      </c>
      <c r="C24" s="27">
        <f>SUMIF(Data!E:E,B24,Data!F:F)</f>
        <v>55</v>
      </c>
      <c r="D24" s="28"/>
      <c r="E24" s="29" t="s">
        <v>14</v>
      </c>
      <c r="F24" s="30"/>
      <c r="G24" s="31"/>
      <c r="H24" s="32">
        <f t="shared" si="4"/>
        <v>0</v>
      </c>
      <c r="J24" s="47">
        <f t="shared" si="0"/>
        <v>0</v>
      </c>
      <c r="K24" s="48">
        <f>SUMIF(Data!E:E,'มหาชัย(2)'!B24,Data!F:F)*J24</f>
        <v>0</v>
      </c>
      <c r="L24" s="49">
        <f t="shared" si="1"/>
        <v>0</v>
      </c>
      <c r="M24" s="50">
        <f t="shared" si="2"/>
        <v>0</v>
      </c>
      <c r="N24" s="33" t="e">
        <f>INDEX(Data!C:C,MATCH(F20,Data!B:B,0))</f>
        <v>#N/A</v>
      </c>
      <c r="O24" s="51" t="e">
        <f t="shared" si="3"/>
        <v>#N/A</v>
      </c>
    </row>
    <row r="25" spans="1:15" ht="44.45" customHeight="1" x14ac:dyDescent="0.2">
      <c r="A25" s="36">
        <v>18</v>
      </c>
      <c r="B25" s="26" t="s">
        <v>99</v>
      </c>
      <c r="C25" s="27">
        <f>SUMIF(Data!E:E,B25,Data!F:F)</f>
        <v>55</v>
      </c>
      <c r="D25" s="28"/>
      <c r="E25" s="29" t="s">
        <v>14</v>
      </c>
      <c r="F25" s="30"/>
      <c r="G25" s="31"/>
      <c r="H25" s="32">
        <f t="shared" si="4"/>
        <v>0</v>
      </c>
      <c r="J25" s="47">
        <f t="shared" si="0"/>
        <v>0</v>
      </c>
      <c r="K25" s="48">
        <f>SUMIF(Data!E:E,'มหาชัย(2)'!B25,Data!F:F)*J25</f>
        <v>0</v>
      </c>
      <c r="L25" s="49">
        <f t="shared" si="1"/>
        <v>0</v>
      </c>
      <c r="M25" s="50">
        <f t="shared" si="2"/>
        <v>0</v>
      </c>
      <c r="N25" s="33" t="e">
        <f>INDEX(Data!C:C,MATCH(F21,Data!B:B,0))</f>
        <v>#N/A</v>
      </c>
      <c r="O25" s="51" t="e">
        <f t="shared" si="3"/>
        <v>#N/A</v>
      </c>
    </row>
    <row r="26" spans="1:15" ht="44.45" customHeight="1" x14ac:dyDescent="0.2">
      <c r="A26" s="36">
        <v>19</v>
      </c>
      <c r="B26" s="26" t="s">
        <v>100</v>
      </c>
      <c r="C26" s="27">
        <f>SUMIF(Data!E:E,B26,Data!F:F)</f>
        <v>81</v>
      </c>
      <c r="D26" s="28"/>
      <c r="E26" s="29" t="s">
        <v>14</v>
      </c>
      <c r="F26" s="30"/>
      <c r="G26" s="31"/>
      <c r="H26" s="32">
        <f t="shared" si="4"/>
        <v>0</v>
      </c>
      <c r="J26" s="47">
        <f t="shared" si="0"/>
        <v>0</v>
      </c>
      <c r="K26" s="48">
        <f>SUMIF(Data!E:E,'มหาชัย(2)'!B26,Data!F:F)*J26</f>
        <v>0</v>
      </c>
      <c r="L26" s="49">
        <f t="shared" si="1"/>
        <v>0</v>
      </c>
      <c r="M26" s="50">
        <f t="shared" si="2"/>
        <v>0</v>
      </c>
      <c r="N26" s="33" t="e">
        <f>INDEX(Data!C:C,MATCH(F22,Data!B:B,0))</f>
        <v>#N/A</v>
      </c>
      <c r="O26" s="51" t="e">
        <f t="shared" si="3"/>
        <v>#N/A</v>
      </c>
    </row>
    <row r="27" spans="1:15" ht="54.6" customHeight="1" x14ac:dyDescent="0.2">
      <c r="A27" s="60" t="s">
        <v>5</v>
      </c>
      <c r="B27" s="60"/>
      <c r="C27" s="40"/>
      <c r="D27" s="41"/>
      <c r="E27" s="42"/>
      <c r="F27" s="42"/>
      <c r="G27" s="42"/>
      <c r="H27" s="1"/>
      <c r="J27" s="14" t="s">
        <v>39</v>
      </c>
      <c r="K27" s="14" t="s">
        <v>41</v>
      </c>
      <c r="L27" s="14" t="s">
        <v>57</v>
      </c>
    </row>
    <row r="28" spans="1:15" ht="20.100000000000001" customHeight="1" x14ac:dyDescent="0.2">
      <c r="J28" s="13">
        <f>SUM($J$8:$J$26)</f>
        <v>0</v>
      </c>
      <c r="K28" s="13">
        <f>SUM($L$8:$L$26)</f>
        <v>0</v>
      </c>
      <c r="L28" s="13">
        <f>SUM(J28:K28)</f>
        <v>0</v>
      </c>
    </row>
    <row r="29" spans="1:15" ht="20.100000000000001" customHeight="1" x14ac:dyDescent="0.2">
      <c r="L29" s="13"/>
    </row>
    <row r="30" spans="1:15" ht="61.5" customHeight="1" x14ac:dyDescent="0.25">
      <c r="A30" s="8"/>
      <c r="B30" s="9" t="s">
        <v>29</v>
      </c>
      <c r="C30" s="9"/>
      <c r="G30" s="8" t="s">
        <v>31</v>
      </c>
      <c r="K30" s="11"/>
      <c r="L30" s="8"/>
      <c r="N30" s="8"/>
      <c r="O30" s="8"/>
    </row>
    <row r="31" spans="1:15" ht="61.5" customHeight="1" x14ac:dyDescent="0.25">
      <c r="A31" s="8"/>
      <c r="B31" s="8" t="s">
        <v>28</v>
      </c>
      <c r="C31" s="8"/>
      <c r="F31" s="8"/>
      <c r="G31" s="8" t="s">
        <v>32</v>
      </c>
      <c r="H31" s="8"/>
      <c r="K31" s="11"/>
      <c r="L31" s="8"/>
      <c r="N31" s="8"/>
      <c r="O31" s="8"/>
    </row>
    <row r="32" spans="1:15" ht="61.5" customHeight="1" x14ac:dyDescent="0.25">
      <c r="A32" s="8"/>
      <c r="B32" s="8" t="s">
        <v>30</v>
      </c>
      <c r="C32" s="8"/>
      <c r="F32" s="8"/>
      <c r="G32" s="8" t="s">
        <v>33</v>
      </c>
      <c r="H32" s="9"/>
      <c r="J32" s="11"/>
      <c r="L32" s="9"/>
      <c r="N32" s="9"/>
      <c r="O32" s="9"/>
    </row>
    <row r="33" ht="20.100000000000001" customHeight="1" x14ac:dyDescent="0.2"/>
    <row r="34" ht="20.100000000000001" customHeight="1" x14ac:dyDescent="0.2"/>
    <row r="35" ht="20.100000000000001" customHeight="1" x14ac:dyDescent="0.2"/>
    <row r="36" ht="20.100000000000001" customHeight="1" x14ac:dyDescent="0.2"/>
    <row r="37" ht="20.100000000000001" customHeight="1" x14ac:dyDescent="0.2"/>
    <row r="38" ht="20.100000000000001" customHeight="1" x14ac:dyDescent="0.2"/>
    <row r="39" ht="20.100000000000001" customHeight="1" x14ac:dyDescent="0.2"/>
    <row r="40" ht="20.100000000000001" customHeight="1" x14ac:dyDescent="0.2"/>
    <row r="41" ht="20.100000000000001" customHeight="1" x14ac:dyDescent="0.2"/>
  </sheetData>
  <mergeCells count="13">
    <mergeCell ref="A1:F2"/>
    <mergeCell ref="A3:H3"/>
    <mergeCell ref="D4:E4"/>
    <mergeCell ref="F4:H4"/>
    <mergeCell ref="A5:A6"/>
    <mergeCell ref="B5:B6"/>
    <mergeCell ref="D5:E5"/>
    <mergeCell ref="F5:H6"/>
    <mergeCell ref="J5:M5"/>
    <mergeCell ref="D6:E6"/>
    <mergeCell ref="J6:K6"/>
    <mergeCell ref="L6:M6"/>
    <mergeCell ref="A27:B27"/>
  </mergeCells>
  <conditionalFormatting sqref="H8:H26">
    <cfRule type="cellIs" dxfId="29" priority="5" operator="lessThan">
      <formula>-1</formula>
    </cfRule>
    <cfRule type="cellIs" dxfId="28" priority="6" operator="equal">
      <formula>"-"</formula>
    </cfRule>
  </conditionalFormatting>
  <conditionalFormatting sqref="J8:O26">
    <cfRule type="containsErrors" dxfId="27" priority="4">
      <formula>ISERROR(J8)</formula>
    </cfRule>
  </conditionalFormatting>
  <conditionalFormatting sqref="O8:O26">
    <cfRule type="cellIs" dxfId="26" priority="1" operator="lessThan">
      <formula>0</formula>
    </cfRule>
    <cfRule type="cellIs" dxfId="25" priority="2" operator="greaterThan">
      <formula>15</formula>
    </cfRule>
    <cfRule type="cellIs" dxfId="24" priority="3" operator="lessThan">
      <formula>16</formula>
    </cfRule>
  </conditionalFormatting>
  <pageMargins left="0.7" right="0.7" top="0.75" bottom="0.75" header="0.3" footer="0.3"/>
  <pageSetup paperSize="9" scale="38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63C7AD0-8598-43D0-A3EA-7EFDBBCC8920}">
          <x14:formula1>
            <xm:f>Data!$B$2:$B$22</xm:f>
          </x14:formula1>
          <xm:sqref>F4</xm:sqref>
        </x14:dataValidation>
        <x14:dataValidation type="list" allowBlank="1" showInputMessage="1" showErrorMessage="1" xr:uid="{FF849F44-F32A-446C-B63B-4B61DBB63F18}">
          <x14:formula1>
            <xm:f>Data!$G$2:$G$6</xm:f>
          </x14:formula1>
          <xm:sqref>E8:E26</xm:sqref>
        </x14:dataValidation>
        <x14:dataValidation type="list" allowBlank="1" showInputMessage="1" showErrorMessage="1" xr:uid="{C33EFF0D-196E-4342-A49D-B496E6A63BC1}">
          <x14:formula1>
            <xm:f>Data!$E$2:$E$37</xm:f>
          </x14:formula1>
          <xm:sqref>B8:B26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D2BD0-4BCA-4E98-BE6C-869F744AF1AD}">
  <sheetPr>
    <tabColor rgb="FF92D050"/>
    <pageSetUpPr fitToPage="1"/>
  </sheetPr>
  <dimension ref="A1:O41"/>
  <sheetViews>
    <sheetView topLeftCell="A7" zoomScale="55" zoomScaleNormal="55" zoomScaleSheetLayoutView="50" workbookViewId="0">
      <selection activeCell="B26" sqref="B26"/>
    </sheetView>
  </sheetViews>
  <sheetFormatPr defaultRowHeight="14.25" x14ac:dyDescent="0.2"/>
  <cols>
    <col min="2" max="2" width="60.875" customWidth="1"/>
    <col min="3" max="3" width="9.375" customWidth="1"/>
    <col min="4" max="4" width="19.625" customWidth="1"/>
    <col min="5" max="5" width="10.375" customWidth="1"/>
    <col min="6" max="7" width="22.125" customWidth="1"/>
    <col min="8" max="8" width="20.875" customWidth="1"/>
    <col min="9" max="9" width="1.875" customWidth="1"/>
    <col min="10" max="10" width="13.875" customWidth="1"/>
    <col min="11" max="11" width="22.75" bestFit="1" customWidth="1"/>
    <col min="12" max="13" width="13.875" customWidth="1"/>
    <col min="14" max="14" width="8.75" customWidth="1"/>
    <col min="15" max="15" width="18.125" customWidth="1"/>
  </cols>
  <sheetData>
    <row r="1" spans="1:15" ht="39.6" customHeight="1" x14ac:dyDescent="0.2">
      <c r="A1" s="61" t="s">
        <v>19</v>
      </c>
      <c r="B1" s="61"/>
      <c r="C1" s="61"/>
      <c r="D1" s="61"/>
      <c r="E1" s="61"/>
      <c r="F1" s="61"/>
      <c r="G1" s="6" t="s">
        <v>17</v>
      </c>
      <c r="H1" s="5" t="s">
        <v>58</v>
      </c>
    </row>
    <row r="2" spans="1:15" ht="40.5" customHeight="1" thickBot="1" x14ac:dyDescent="0.25">
      <c r="A2" s="62"/>
      <c r="B2" s="62"/>
      <c r="C2" s="62"/>
      <c r="D2" s="62"/>
      <c r="E2" s="62"/>
      <c r="F2" s="62"/>
      <c r="G2" s="6" t="s">
        <v>27</v>
      </c>
      <c r="H2" s="15"/>
    </row>
    <row r="3" spans="1:15" ht="48.6" customHeight="1" x14ac:dyDescent="0.2">
      <c r="A3" s="63" t="s">
        <v>1</v>
      </c>
      <c r="B3" s="64"/>
      <c r="C3" s="64"/>
      <c r="D3" s="64"/>
      <c r="E3" s="64"/>
      <c r="F3" s="64"/>
      <c r="G3" s="64"/>
      <c r="H3" s="65"/>
    </row>
    <row r="4" spans="1:15" ht="54.95" customHeight="1" x14ac:dyDescent="0.2">
      <c r="A4" s="33" t="s">
        <v>0</v>
      </c>
      <c r="B4" s="34" t="s">
        <v>21</v>
      </c>
      <c r="C4" s="35"/>
      <c r="D4" s="66" t="s">
        <v>6</v>
      </c>
      <c r="E4" s="66"/>
      <c r="F4" s="57" t="s">
        <v>47</v>
      </c>
      <c r="G4" s="57"/>
      <c r="H4" s="57"/>
    </row>
    <row r="5" spans="1:15" ht="30.95" customHeight="1" x14ac:dyDescent="0.2">
      <c r="A5" s="55" t="s">
        <v>2</v>
      </c>
      <c r="B5" s="67"/>
      <c r="C5" s="37"/>
      <c r="D5" s="55" t="s">
        <v>18</v>
      </c>
      <c r="E5" s="55"/>
      <c r="F5" s="68"/>
      <c r="G5" s="68"/>
      <c r="H5" s="68"/>
      <c r="J5" s="55" t="s">
        <v>38</v>
      </c>
      <c r="K5" s="55"/>
      <c r="L5" s="55"/>
      <c r="M5" s="55"/>
    </row>
    <row r="6" spans="1:15" ht="30.6" customHeight="1" x14ac:dyDescent="0.2">
      <c r="A6" s="55"/>
      <c r="B6" s="67"/>
      <c r="C6" s="37"/>
      <c r="D6" s="56"/>
      <c r="E6" s="57"/>
      <c r="F6" s="68"/>
      <c r="G6" s="68"/>
      <c r="H6" s="68"/>
      <c r="J6" s="58" t="s">
        <v>39</v>
      </c>
      <c r="K6" s="58"/>
      <c r="L6" s="59" t="s">
        <v>41</v>
      </c>
      <c r="M6" s="59"/>
    </row>
    <row r="7" spans="1:15" s="7" customFormat="1" ht="36.6" customHeight="1" x14ac:dyDescent="0.25">
      <c r="A7" s="38" t="s">
        <v>3</v>
      </c>
      <c r="B7" s="38" t="s">
        <v>4</v>
      </c>
      <c r="C7" s="38" t="s">
        <v>42</v>
      </c>
      <c r="D7" s="38" t="s">
        <v>11</v>
      </c>
      <c r="E7" s="38" t="s">
        <v>12</v>
      </c>
      <c r="F7" s="38" t="s">
        <v>9</v>
      </c>
      <c r="G7" s="38" t="s">
        <v>10</v>
      </c>
      <c r="H7" s="39" t="s">
        <v>24</v>
      </c>
      <c r="J7" s="43" t="s">
        <v>40</v>
      </c>
      <c r="K7" s="44" t="s">
        <v>14</v>
      </c>
      <c r="L7" s="45" t="s">
        <v>40</v>
      </c>
      <c r="M7" s="46" t="s">
        <v>14</v>
      </c>
      <c r="N7" s="42" t="s">
        <v>25</v>
      </c>
      <c r="O7" s="42" t="s">
        <v>26</v>
      </c>
    </row>
    <row r="8" spans="1:15" ht="44.45" customHeight="1" x14ac:dyDescent="0.2">
      <c r="A8" s="36">
        <v>1</v>
      </c>
      <c r="B8" s="26" t="s">
        <v>77</v>
      </c>
      <c r="C8" s="27">
        <f>SUMIF(Data!E:E,B8,Data!F:F)</f>
        <v>42</v>
      </c>
      <c r="D8" s="28"/>
      <c r="E8" s="29" t="s">
        <v>14</v>
      </c>
      <c r="F8" s="30"/>
      <c r="G8" s="31"/>
      <c r="H8" s="32">
        <f>+G8-$D$6</f>
        <v>0</v>
      </c>
      <c r="J8" s="47">
        <f t="shared" ref="J8:J26" si="0">ROUNDDOWN((D8/C8),0)</f>
        <v>0</v>
      </c>
      <c r="K8" s="48">
        <f>SUMIF(Data!E:E,'มหาชัย(2)'!B8,Data!F:F)*J8</f>
        <v>0</v>
      </c>
      <c r="L8" s="49">
        <f t="shared" ref="L8:L26" si="1">ROUNDUP((M8/C8),0)</f>
        <v>0</v>
      </c>
      <c r="M8" s="50">
        <f t="shared" ref="M8:M26" si="2">D8-K8</f>
        <v>0</v>
      </c>
      <c r="N8" s="33">
        <f>INDEX(Data!C:C,MATCH(F4,Data!B:B,0))</f>
        <v>60</v>
      </c>
      <c r="O8" s="51">
        <f t="shared" ref="O8:O26" si="3">H8-N8</f>
        <v>-60</v>
      </c>
    </row>
    <row r="9" spans="1:15" ht="44.45" customHeight="1" x14ac:dyDescent="0.2">
      <c r="A9" s="36">
        <v>2</v>
      </c>
      <c r="B9" s="26" t="s">
        <v>66</v>
      </c>
      <c r="C9" s="27">
        <f>SUMIF(Data!E:E,B9,Data!F:F)</f>
        <v>36</v>
      </c>
      <c r="D9" s="28"/>
      <c r="E9" s="29" t="s">
        <v>14</v>
      </c>
      <c r="F9" s="30"/>
      <c r="G9" s="31"/>
      <c r="H9" s="32">
        <f t="shared" ref="H9:H26" si="4">+G9-$D$6</f>
        <v>0</v>
      </c>
      <c r="J9" s="47">
        <f t="shared" si="0"/>
        <v>0</v>
      </c>
      <c r="K9" s="48">
        <f>SUMIF(Data!E:E,'มหาชัย(2)'!B9,Data!F:F)*J9</f>
        <v>0</v>
      </c>
      <c r="L9" s="49">
        <f t="shared" si="1"/>
        <v>0</v>
      </c>
      <c r="M9" s="50">
        <f t="shared" si="2"/>
        <v>0</v>
      </c>
      <c r="N9" s="33" t="e">
        <f>INDEX(Data!C:C,MATCH(F5,Data!B:B,0))</f>
        <v>#N/A</v>
      </c>
      <c r="O9" s="51" t="e">
        <f t="shared" si="3"/>
        <v>#N/A</v>
      </c>
    </row>
    <row r="10" spans="1:15" ht="44.45" customHeight="1" x14ac:dyDescent="0.2">
      <c r="A10" s="36">
        <v>3</v>
      </c>
      <c r="B10" s="26" t="s">
        <v>79</v>
      </c>
      <c r="C10" s="27">
        <f>SUMIF(Data!E:E,B10,Data!F:F)</f>
        <v>42</v>
      </c>
      <c r="D10" s="28"/>
      <c r="E10" s="29" t="s">
        <v>14</v>
      </c>
      <c r="F10" s="30"/>
      <c r="G10" s="31"/>
      <c r="H10" s="32">
        <f t="shared" si="4"/>
        <v>0</v>
      </c>
      <c r="J10" s="47">
        <f t="shared" si="0"/>
        <v>0</v>
      </c>
      <c r="K10" s="48">
        <f>SUMIF(Data!E:E,'มหาชัย(2)'!B10,Data!F:F)*J10</f>
        <v>0</v>
      </c>
      <c r="L10" s="49">
        <f t="shared" si="1"/>
        <v>0</v>
      </c>
      <c r="M10" s="50">
        <f t="shared" si="2"/>
        <v>0</v>
      </c>
      <c r="N10" s="33" t="e">
        <f>INDEX(Data!C:C,MATCH(F6,Data!B:B,0))</f>
        <v>#N/A</v>
      </c>
      <c r="O10" s="51" t="e">
        <f t="shared" si="3"/>
        <v>#N/A</v>
      </c>
    </row>
    <row r="11" spans="1:15" ht="44.45" customHeight="1" x14ac:dyDescent="0.2">
      <c r="A11" s="36">
        <v>4</v>
      </c>
      <c r="B11" s="26" t="s">
        <v>80</v>
      </c>
      <c r="C11" s="27">
        <f>SUMIF(Data!E:E,B11,Data!F:F)</f>
        <v>50</v>
      </c>
      <c r="D11" s="28"/>
      <c r="E11" s="29" t="s">
        <v>14</v>
      </c>
      <c r="F11" s="30"/>
      <c r="G11" s="31"/>
      <c r="H11" s="32">
        <f t="shared" si="4"/>
        <v>0</v>
      </c>
      <c r="J11" s="47">
        <f t="shared" si="0"/>
        <v>0</v>
      </c>
      <c r="K11" s="48">
        <f>SUMIF(Data!E:E,'มหาชัย(2)'!B11,Data!F:F)*J11</f>
        <v>0</v>
      </c>
      <c r="L11" s="49">
        <f t="shared" si="1"/>
        <v>0</v>
      </c>
      <c r="M11" s="50">
        <f t="shared" si="2"/>
        <v>0</v>
      </c>
      <c r="N11" s="33" t="e">
        <f>INDEX(Data!C:C,MATCH(F7,Data!B:B,0))</f>
        <v>#N/A</v>
      </c>
      <c r="O11" s="51" t="e">
        <f t="shared" si="3"/>
        <v>#N/A</v>
      </c>
    </row>
    <row r="12" spans="1:15" ht="44.45" customHeight="1" x14ac:dyDescent="0.2">
      <c r="A12" s="36">
        <v>5</v>
      </c>
      <c r="B12" s="26" t="s">
        <v>71</v>
      </c>
      <c r="C12" s="27">
        <f>SUMIF(Data!E:E,B12,Data!F:F)</f>
        <v>81</v>
      </c>
      <c r="D12" s="28"/>
      <c r="E12" s="29" t="s">
        <v>14</v>
      </c>
      <c r="F12" s="30"/>
      <c r="G12" s="31"/>
      <c r="H12" s="32">
        <f t="shared" si="4"/>
        <v>0</v>
      </c>
      <c r="J12" s="47">
        <f t="shared" si="0"/>
        <v>0</v>
      </c>
      <c r="K12" s="48">
        <f>SUMIF(Data!E:E,'มหาชัย(2)'!B12,Data!F:F)*J12</f>
        <v>0</v>
      </c>
      <c r="L12" s="49">
        <f t="shared" si="1"/>
        <v>0</v>
      </c>
      <c r="M12" s="50">
        <f t="shared" si="2"/>
        <v>0</v>
      </c>
      <c r="N12" s="33" t="e">
        <f>INDEX(Data!C:C,MATCH(F8,Data!B:B,0))</f>
        <v>#N/A</v>
      </c>
      <c r="O12" s="51" t="e">
        <f t="shared" si="3"/>
        <v>#N/A</v>
      </c>
    </row>
    <row r="13" spans="1:15" ht="44.45" customHeight="1" x14ac:dyDescent="0.2">
      <c r="A13" s="36">
        <v>6</v>
      </c>
      <c r="B13" s="26" t="s">
        <v>84</v>
      </c>
      <c r="C13" s="27">
        <f>SUMIF(Data!E:E,B13,Data!F:F)</f>
        <v>42</v>
      </c>
      <c r="D13" s="28"/>
      <c r="E13" s="29" t="s">
        <v>14</v>
      </c>
      <c r="F13" s="30"/>
      <c r="G13" s="31"/>
      <c r="H13" s="32">
        <f t="shared" si="4"/>
        <v>0</v>
      </c>
      <c r="J13" s="47">
        <f t="shared" si="0"/>
        <v>0</v>
      </c>
      <c r="K13" s="48">
        <f>SUMIF(Data!E:E,'มหาชัย(2)'!B13,Data!F:F)*J13</f>
        <v>0</v>
      </c>
      <c r="L13" s="49">
        <f t="shared" si="1"/>
        <v>0</v>
      </c>
      <c r="M13" s="50">
        <f t="shared" si="2"/>
        <v>0</v>
      </c>
      <c r="N13" s="33" t="e">
        <f>INDEX(Data!C:C,MATCH(F9,Data!B:B,0))</f>
        <v>#N/A</v>
      </c>
      <c r="O13" s="51" t="e">
        <f t="shared" si="3"/>
        <v>#N/A</v>
      </c>
    </row>
    <row r="14" spans="1:15" ht="44.45" customHeight="1" x14ac:dyDescent="0.2">
      <c r="A14" s="36">
        <v>7</v>
      </c>
      <c r="B14" s="26" t="s">
        <v>85</v>
      </c>
      <c r="C14" s="27">
        <f>SUMIF(Data!E:E,B14,Data!F:F)</f>
        <v>32</v>
      </c>
      <c r="D14" s="28"/>
      <c r="E14" s="29" t="s">
        <v>14</v>
      </c>
      <c r="F14" s="30"/>
      <c r="G14" s="31"/>
      <c r="H14" s="32">
        <f t="shared" si="4"/>
        <v>0</v>
      </c>
      <c r="J14" s="47">
        <f t="shared" si="0"/>
        <v>0</v>
      </c>
      <c r="K14" s="48">
        <f>SUMIF(Data!E:E,'มหาชัย(2)'!B14,Data!F:F)*J14</f>
        <v>0</v>
      </c>
      <c r="L14" s="49">
        <f t="shared" si="1"/>
        <v>0</v>
      </c>
      <c r="M14" s="50">
        <f t="shared" si="2"/>
        <v>0</v>
      </c>
      <c r="N14" s="33" t="e">
        <f>INDEX(Data!C:C,MATCH(F10,Data!B:B,0))</f>
        <v>#N/A</v>
      </c>
      <c r="O14" s="51" t="e">
        <f t="shared" si="3"/>
        <v>#N/A</v>
      </c>
    </row>
    <row r="15" spans="1:15" ht="44.45" customHeight="1" x14ac:dyDescent="0.2">
      <c r="A15" s="36">
        <v>8</v>
      </c>
      <c r="B15" s="26" t="s">
        <v>76</v>
      </c>
      <c r="C15" s="27">
        <f>SUMIF(Data!E:E,B15,Data!F:F)</f>
        <v>70</v>
      </c>
      <c r="D15" s="28"/>
      <c r="E15" s="29" t="s">
        <v>14</v>
      </c>
      <c r="F15" s="30"/>
      <c r="G15" s="31"/>
      <c r="H15" s="32">
        <f t="shared" si="4"/>
        <v>0</v>
      </c>
      <c r="J15" s="47">
        <f t="shared" si="0"/>
        <v>0</v>
      </c>
      <c r="K15" s="48">
        <f>SUMIF(Data!E:E,'มหาชัย(2)'!B15,Data!F:F)*J15</f>
        <v>0</v>
      </c>
      <c r="L15" s="49">
        <f t="shared" si="1"/>
        <v>0</v>
      </c>
      <c r="M15" s="50">
        <f t="shared" si="2"/>
        <v>0</v>
      </c>
      <c r="N15" s="33" t="e">
        <f>INDEX(Data!C:C,MATCH(F11,Data!B:B,0))</f>
        <v>#N/A</v>
      </c>
      <c r="O15" s="51" t="e">
        <f t="shared" si="3"/>
        <v>#N/A</v>
      </c>
    </row>
    <row r="16" spans="1:15" ht="44.45" customHeight="1" x14ac:dyDescent="0.2">
      <c r="A16" s="36">
        <v>9</v>
      </c>
      <c r="B16" s="26" t="s">
        <v>89</v>
      </c>
      <c r="C16" s="27">
        <f>SUMIF(Data!E:E,B16,Data!F:F)</f>
        <v>45</v>
      </c>
      <c r="D16" s="28"/>
      <c r="E16" s="29" t="s">
        <v>14</v>
      </c>
      <c r="F16" s="30"/>
      <c r="G16" s="31"/>
      <c r="H16" s="32">
        <f t="shared" si="4"/>
        <v>0</v>
      </c>
      <c r="J16" s="47">
        <f t="shared" si="0"/>
        <v>0</v>
      </c>
      <c r="K16" s="48">
        <f>SUMIF(Data!E:E,'มหาชัย(2)'!B16,Data!F:F)*J16</f>
        <v>0</v>
      </c>
      <c r="L16" s="49">
        <f t="shared" si="1"/>
        <v>0</v>
      </c>
      <c r="M16" s="50">
        <f t="shared" si="2"/>
        <v>0</v>
      </c>
      <c r="N16" s="33" t="e">
        <f>INDEX(Data!C:C,MATCH(F12,Data!B:B,0))</f>
        <v>#N/A</v>
      </c>
      <c r="O16" s="51" t="e">
        <f t="shared" si="3"/>
        <v>#N/A</v>
      </c>
    </row>
    <row r="17" spans="1:15" ht="44.45" customHeight="1" x14ac:dyDescent="0.2">
      <c r="A17" s="36">
        <v>10</v>
      </c>
      <c r="B17" s="26" t="s">
        <v>88</v>
      </c>
      <c r="C17" s="27">
        <f>SUMIF(Data!E:E,B17,Data!F:F)</f>
        <v>48</v>
      </c>
      <c r="D17" s="28"/>
      <c r="E17" s="29" t="s">
        <v>14</v>
      </c>
      <c r="F17" s="30"/>
      <c r="G17" s="31"/>
      <c r="H17" s="32">
        <f t="shared" si="4"/>
        <v>0</v>
      </c>
      <c r="J17" s="47">
        <f t="shared" si="0"/>
        <v>0</v>
      </c>
      <c r="K17" s="48">
        <f>SUMIF(Data!E:E,'มหาชัย(2)'!B17,Data!F:F)*J17</f>
        <v>0</v>
      </c>
      <c r="L17" s="49">
        <f t="shared" si="1"/>
        <v>0</v>
      </c>
      <c r="M17" s="50">
        <f t="shared" si="2"/>
        <v>0</v>
      </c>
      <c r="N17" s="33" t="e">
        <f>INDEX(Data!C:C,MATCH(F13,Data!B:B,0))</f>
        <v>#N/A</v>
      </c>
      <c r="O17" s="51" t="e">
        <f t="shared" si="3"/>
        <v>#N/A</v>
      </c>
    </row>
    <row r="18" spans="1:15" ht="44.45" customHeight="1" x14ac:dyDescent="0.2">
      <c r="A18" s="36">
        <v>11</v>
      </c>
      <c r="B18" s="26" t="s">
        <v>87</v>
      </c>
      <c r="C18" s="27">
        <f>SUMIF(Data!E:E,B18,Data!F:F)</f>
        <v>48</v>
      </c>
      <c r="D18" s="28"/>
      <c r="E18" s="29" t="s">
        <v>14</v>
      </c>
      <c r="F18" s="30"/>
      <c r="G18" s="31"/>
      <c r="H18" s="32">
        <f t="shared" si="4"/>
        <v>0</v>
      </c>
      <c r="J18" s="47">
        <f t="shared" si="0"/>
        <v>0</v>
      </c>
      <c r="K18" s="48">
        <f>SUMIF(Data!E:E,'มหาชัย(2)'!B18,Data!F:F)*J18</f>
        <v>0</v>
      </c>
      <c r="L18" s="49">
        <f t="shared" si="1"/>
        <v>0</v>
      </c>
      <c r="M18" s="50">
        <f t="shared" si="2"/>
        <v>0</v>
      </c>
      <c r="N18" s="33" t="e">
        <f>INDEX(Data!C:C,MATCH(F14,Data!B:B,0))</f>
        <v>#N/A</v>
      </c>
      <c r="O18" s="51" t="e">
        <f t="shared" si="3"/>
        <v>#N/A</v>
      </c>
    </row>
    <row r="19" spans="1:15" ht="44.45" customHeight="1" x14ac:dyDescent="0.2">
      <c r="A19" s="36">
        <v>12</v>
      </c>
      <c r="B19" s="26" t="s">
        <v>90</v>
      </c>
      <c r="C19" s="27">
        <f>SUMIF(Data!E:E,B19,Data!F:F)</f>
        <v>60</v>
      </c>
      <c r="D19" s="28"/>
      <c r="E19" s="29" t="s">
        <v>14</v>
      </c>
      <c r="F19" s="30"/>
      <c r="G19" s="31"/>
      <c r="H19" s="32">
        <f t="shared" si="4"/>
        <v>0</v>
      </c>
      <c r="J19" s="47">
        <f t="shared" si="0"/>
        <v>0</v>
      </c>
      <c r="K19" s="48">
        <f>SUMIF(Data!E:E,'มหาชัย(2)'!B19,Data!F:F)*J19</f>
        <v>0</v>
      </c>
      <c r="L19" s="49">
        <f t="shared" si="1"/>
        <v>0</v>
      </c>
      <c r="M19" s="50">
        <f t="shared" si="2"/>
        <v>0</v>
      </c>
      <c r="N19" s="33" t="e">
        <f>INDEX(Data!C:C,MATCH(F15,Data!B:B,0))</f>
        <v>#N/A</v>
      </c>
      <c r="O19" s="51" t="e">
        <f t="shared" si="3"/>
        <v>#N/A</v>
      </c>
    </row>
    <row r="20" spans="1:15" ht="44.45" customHeight="1" x14ac:dyDescent="0.2">
      <c r="A20" s="36">
        <v>13</v>
      </c>
      <c r="B20" s="26" t="s">
        <v>91</v>
      </c>
      <c r="C20" s="27">
        <f>SUMIF(Data!E:E,B20,Data!F:F)</f>
        <v>50</v>
      </c>
      <c r="D20" s="28"/>
      <c r="E20" s="29" t="s">
        <v>14</v>
      </c>
      <c r="F20" s="30"/>
      <c r="G20" s="31"/>
      <c r="H20" s="32">
        <f t="shared" si="4"/>
        <v>0</v>
      </c>
      <c r="J20" s="47">
        <f t="shared" si="0"/>
        <v>0</v>
      </c>
      <c r="K20" s="48">
        <f>SUMIF(Data!E:E,'มหาชัย(2)'!B20,Data!F:F)*J20</f>
        <v>0</v>
      </c>
      <c r="L20" s="49">
        <f t="shared" si="1"/>
        <v>0</v>
      </c>
      <c r="M20" s="50">
        <f t="shared" si="2"/>
        <v>0</v>
      </c>
      <c r="N20" s="33" t="e">
        <f>INDEX(Data!C:C,MATCH(F16,Data!B:B,0))</f>
        <v>#N/A</v>
      </c>
      <c r="O20" s="51" t="e">
        <f t="shared" si="3"/>
        <v>#N/A</v>
      </c>
    </row>
    <row r="21" spans="1:15" ht="44.45" customHeight="1" x14ac:dyDescent="0.2">
      <c r="A21" s="36">
        <v>14</v>
      </c>
      <c r="B21" s="26" t="s">
        <v>93</v>
      </c>
      <c r="C21" s="27">
        <f>SUMIF(Data!E:E,B21,Data!F:F)</f>
        <v>60</v>
      </c>
      <c r="D21" s="28"/>
      <c r="E21" s="29" t="s">
        <v>14</v>
      </c>
      <c r="F21" s="30"/>
      <c r="G21" s="31"/>
      <c r="H21" s="32">
        <f t="shared" si="4"/>
        <v>0</v>
      </c>
      <c r="J21" s="47">
        <f t="shared" si="0"/>
        <v>0</v>
      </c>
      <c r="K21" s="48">
        <f>SUMIF(Data!E:E,'มหาชัย(2)'!B21,Data!F:F)*J21</f>
        <v>0</v>
      </c>
      <c r="L21" s="49">
        <f t="shared" si="1"/>
        <v>0</v>
      </c>
      <c r="M21" s="50">
        <f t="shared" si="2"/>
        <v>0</v>
      </c>
      <c r="N21" s="33" t="e">
        <f>INDEX(Data!C:C,MATCH(F17,Data!B:B,0))</f>
        <v>#N/A</v>
      </c>
      <c r="O21" s="51" t="e">
        <f t="shared" si="3"/>
        <v>#N/A</v>
      </c>
    </row>
    <row r="22" spans="1:15" ht="44.45" customHeight="1" x14ac:dyDescent="0.2">
      <c r="A22" s="36">
        <v>15</v>
      </c>
      <c r="B22" s="26" t="s">
        <v>94</v>
      </c>
      <c r="C22" s="27">
        <f>SUMIF(Data!E:E,B22,Data!F:F)</f>
        <v>55</v>
      </c>
      <c r="D22" s="28"/>
      <c r="E22" s="29" t="s">
        <v>14</v>
      </c>
      <c r="F22" s="30"/>
      <c r="G22" s="31"/>
      <c r="H22" s="32">
        <f t="shared" si="4"/>
        <v>0</v>
      </c>
      <c r="J22" s="47">
        <f t="shared" si="0"/>
        <v>0</v>
      </c>
      <c r="K22" s="48">
        <f>SUMIF(Data!E:E,'มหาชัย(2)'!B22,Data!F:F)*J22</f>
        <v>0</v>
      </c>
      <c r="L22" s="49">
        <f t="shared" si="1"/>
        <v>0</v>
      </c>
      <c r="M22" s="50">
        <f t="shared" si="2"/>
        <v>0</v>
      </c>
      <c r="N22" s="33" t="e">
        <f>INDEX(Data!C:C,MATCH(F18,Data!B:B,0))</f>
        <v>#N/A</v>
      </c>
      <c r="O22" s="51" t="e">
        <f t="shared" si="3"/>
        <v>#N/A</v>
      </c>
    </row>
    <row r="23" spans="1:15" ht="44.45" customHeight="1" x14ac:dyDescent="0.2">
      <c r="A23" s="36">
        <v>16</v>
      </c>
      <c r="B23" s="26" t="s">
        <v>95</v>
      </c>
      <c r="C23" s="27">
        <f>SUMIF(Data!E:E,B23,Data!F:F)</f>
        <v>50</v>
      </c>
      <c r="D23" s="28"/>
      <c r="E23" s="29" t="s">
        <v>14</v>
      </c>
      <c r="F23" s="30"/>
      <c r="G23" s="31"/>
      <c r="H23" s="32">
        <f t="shared" si="4"/>
        <v>0</v>
      </c>
      <c r="J23" s="47">
        <f t="shared" si="0"/>
        <v>0</v>
      </c>
      <c r="K23" s="48">
        <f>SUMIF(Data!E:E,'มหาชัย(2)'!B23,Data!F:F)*J23</f>
        <v>0</v>
      </c>
      <c r="L23" s="49">
        <f t="shared" si="1"/>
        <v>0</v>
      </c>
      <c r="M23" s="50">
        <f t="shared" si="2"/>
        <v>0</v>
      </c>
      <c r="N23" s="33" t="e">
        <f>INDEX(Data!C:C,MATCH(F19,Data!B:B,0))</f>
        <v>#N/A</v>
      </c>
      <c r="O23" s="51" t="e">
        <f t="shared" si="3"/>
        <v>#N/A</v>
      </c>
    </row>
    <row r="24" spans="1:15" ht="44.45" customHeight="1" x14ac:dyDescent="0.2">
      <c r="A24" s="36">
        <v>17</v>
      </c>
      <c r="B24" s="26" t="s">
        <v>98</v>
      </c>
      <c r="C24" s="27">
        <f>SUMIF(Data!E:E,B24,Data!F:F)</f>
        <v>55</v>
      </c>
      <c r="D24" s="28"/>
      <c r="E24" s="29" t="s">
        <v>14</v>
      </c>
      <c r="F24" s="30"/>
      <c r="G24" s="31"/>
      <c r="H24" s="32">
        <f t="shared" si="4"/>
        <v>0</v>
      </c>
      <c r="J24" s="47">
        <f t="shared" si="0"/>
        <v>0</v>
      </c>
      <c r="K24" s="48">
        <f>SUMIF(Data!E:E,'มหาชัย(2)'!B24,Data!F:F)*J24</f>
        <v>0</v>
      </c>
      <c r="L24" s="49">
        <f t="shared" si="1"/>
        <v>0</v>
      </c>
      <c r="M24" s="50">
        <f t="shared" si="2"/>
        <v>0</v>
      </c>
      <c r="N24" s="33" t="e">
        <f>INDEX(Data!C:C,MATCH(F20,Data!B:B,0))</f>
        <v>#N/A</v>
      </c>
      <c r="O24" s="51" t="e">
        <f t="shared" si="3"/>
        <v>#N/A</v>
      </c>
    </row>
    <row r="25" spans="1:15" ht="44.45" customHeight="1" x14ac:dyDescent="0.2">
      <c r="A25" s="36">
        <v>18</v>
      </c>
      <c r="B25" s="26" t="s">
        <v>99</v>
      </c>
      <c r="C25" s="27">
        <f>SUMIF(Data!E:E,B25,Data!F:F)</f>
        <v>55</v>
      </c>
      <c r="D25" s="28"/>
      <c r="E25" s="29" t="s">
        <v>14</v>
      </c>
      <c r="F25" s="30"/>
      <c r="G25" s="31"/>
      <c r="H25" s="32">
        <f t="shared" si="4"/>
        <v>0</v>
      </c>
      <c r="J25" s="47">
        <f t="shared" si="0"/>
        <v>0</v>
      </c>
      <c r="K25" s="48">
        <f>SUMIF(Data!E:E,'มหาชัย(2)'!B25,Data!F:F)*J25</f>
        <v>0</v>
      </c>
      <c r="L25" s="49">
        <f t="shared" si="1"/>
        <v>0</v>
      </c>
      <c r="M25" s="50">
        <f t="shared" si="2"/>
        <v>0</v>
      </c>
      <c r="N25" s="33" t="e">
        <f>INDEX(Data!C:C,MATCH(F21,Data!B:B,0))</f>
        <v>#N/A</v>
      </c>
      <c r="O25" s="51" t="e">
        <f t="shared" si="3"/>
        <v>#N/A</v>
      </c>
    </row>
    <row r="26" spans="1:15" ht="44.45" customHeight="1" x14ac:dyDescent="0.2">
      <c r="A26" s="36">
        <v>19</v>
      </c>
      <c r="B26" s="26" t="s">
        <v>100</v>
      </c>
      <c r="C26" s="27">
        <f>SUMIF(Data!E:E,B26,Data!F:F)</f>
        <v>81</v>
      </c>
      <c r="D26" s="28"/>
      <c r="E26" s="29" t="s">
        <v>14</v>
      </c>
      <c r="F26" s="30"/>
      <c r="G26" s="31"/>
      <c r="H26" s="32">
        <f t="shared" si="4"/>
        <v>0</v>
      </c>
      <c r="J26" s="47">
        <f t="shared" si="0"/>
        <v>0</v>
      </c>
      <c r="K26" s="48">
        <f>SUMIF(Data!E:E,'มหาชัย(2)'!B26,Data!F:F)*J26</f>
        <v>0</v>
      </c>
      <c r="L26" s="49">
        <f t="shared" si="1"/>
        <v>0</v>
      </c>
      <c r="M26" s="50">
        <f t="shared" si="2"/>
        <v>0</v>
      </c>
      <c r="N26" s="33" t="e">
        <f>INDEX(Data!C:C,MATCH(F22,Data!B:B,0))</f>
        <v>#N/A</v>
      </c>
      <c r="O26" s="51" t="e">
        <f t="shared" si="3"/>
        <v>#N/A</v>
      </c>
    </row>
    <row r="27" spans="1:15" ht="54" customHeight="1" x14ac:dyDescent="0.2">
      <c r="A27" s="60" t="s">
        <v>5</v>
      </c>
      <c r="B27" s="60"/>
      <c r="C27" s="40"/>
      <c r="D27" s="41"/>
      <c r="E27" s="42"/>
      <c r="F27" s="42"/>
      <c r="G27" s="42"/>
      <c r="H27" s="1"/>
      <c r="J27" s="14" t="s">
        <v>39</v>
      </c>
      <c r="K27" s="14" t="s">
        <v>41</v>
      </c>
      <c r="L27" s="14" t="s">
        <v>57</v>
      </c>
    </row>
    <row r="28" spans="1:15" ht="20.100000000000001" customHeight="1" x14ac:dyDescent="0.2">
      <c r="J28" s="13">
        <f>SUM($J$8:$J$26)</f>
        <v>0</v>
      </c>
      <c r="K28" s="13">
        <f>SUM($L$8:$L$26)</f>
        <v>0</v>
      </c>
      <c r="L28" s="13">
        <f>SUM(J28:K28)</f>
        <v>0</v>
      </c>
    </row>
    <row r="29" spans="1:15" ht="20.100000000000001" customHeight="1" x14ac:dyDescent="0.2">
      <c r="L29" s="19"/>
    </row>
    <row r="30" spans="1:15" ht="61.5" customHeight="1" x14ac:dyDescent="0.25">
      <c r="A30" s="8"/>
      <c r="B30" s="9" t="s">
        <v>29</v>
      </c>
      <c r="C30" s="9"/>
      <c r="G30" s="8" t="s">
        <v>31</v>
      </c>
      <c r="L30" s="9"/>
      <c r="N30" s="8"/>
      <c r="O30" s="8"/>
    </row>
    <row r="31" spans="1:15" ht="61.5" customHeight="1" x14ac:dyDescent="0.25">
      <c r="A31" s="8"/>
      <c r="B31" s="8" t="s">
        <v>28</v>
      </c>
      <c r="C31" s="8"/>
      <c r="F31" s="8"/>
      <c r="G31" s="8" t="s">
        <v>32</v>
      </c>
      <c r="H31" s="8"/>
      <c r="L31" s="9"/>
      <c r="N31" s="8"/>
      <c r="O31" s="8"/>
    </row>
    <row r="32" spans="1:15" ht="61.5" customHeight="1" x14ac:dyDescent="0.25">
      <c r="A32" s="8"/>
      <c r="B32" s="8" t="s">
        <v>30</v>
      </c>
      <c r="C32" s="8"/>
      <c r="F32" s="8"/>
      <c r="G32" s="8" t="s">
        <v>33</v>
      </c>
      <c r="H32" s="9"/>
      <c r="J32" s="11"/>
      <c r="L32" s="9"/>
      <c r="N32" s="9"/>
      <c r="O32" s="9"/>
    </row>
    <row r="33" ht="20.100000000000001" customHeight="1" x14ac:dyDescent="0.2"/>
    <row r="34" ht="20.100000000000001" customHeight="1" x14ac:dyDescent="0.2"/>
    <row r="35" ht="20.100000000000001" customHeight="1" x14ac:dyDescent="0.2"/>
    <row r="36" ht="20.100000000000001" customHeight="1" x14ac:dyDescent="0.2"/>
    <row r="37" ht="20.100000000000001" customHeight="1" x14ac:dyDescent="0.2"/>
    <row r="38" ht="20.100000000000001" customHeight="1" x14ac:dyDescent="0.2"/>
    <row r="39" ht="20.100000000000001" customHeight="1" x14ac:dyDescent="0.2"/>
    <row r="40" ht="20.100000000000001" customHeight="1" x14ac:dyDescent="0.2"/>
    <row r="41" ht="20.100000000000001" customHeight="1" x14ac:dyDescent="0.2"/>
  </sheetData>
  <mergeCells count="13">
    <mergeCell ref="A1:F2"/>
    <mergeCell ref="A3:H3"/>
    <mergeCell ref="D4:E4"/>
    <mergeCell ref="F4:H4"/>
    <mergeCell ref="A5:A6"/>
    <mergeCell ref="B5:B6"/>
    <mergeCell ref="D5:E5"/>
    <mergeCell ref="F5:H6"/>
    <mergeCell ref="J5:M5"/>
    <mergeCell ref="D6:E6"/>
    <mergeCell ref="J6:K6"/>
    <mergeCell ref="L6:M6"/>
    <mergeCell ref="A27:B27"/>
  </mergeCells>
  <conditionalFormatting sqref="H8:H26">
    <cfRule type="cellIs" dxfId="23" priority="5" operator="lessThan">
      <formula>-1</formula>
    </cfRule>
    <cfRule type="cellIs" dxfId="22" priority="6" operator="equal">
      <formula>"-"</formula>
    </cfRule>
  </conditionalFormatting>
  <conditionalFormatting sqref="J8:O26">
    <cfRule type="containsErrors" dxfId="21" priority="4">
      <formula>ISERROR(J8)</formula>
    </cfRule>
  </conditionalFormatting>
  <conditionalFormatting sqref="O8:O26">
    <cfRule type="cellIs" dxfId="20" priority="1" operator="lessThan">
      <formula>0</formula>
    </cfRule>
    <cfRule type="cellIs" dxfId="19" priority="2" operator="greaterThan">
      <formula>15</formula>
    </cfRule>
    <cfRule type="cellIs" dxfId="18" priority="3" operator="lessThan">
      <formula>16</formula>
    </cfRule>
  </conditionalFormatting>
  <pageMargins left="0.7" right="0.7" top="0.75" bottom="0.75" header="0.3" footer="0.3"/>
  <pageSetup paperSize="9" scale="38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EB78D15-C51D-4B1A-A9BA-0F4FBA82310F}">
          <x14:formula1>
            <xm:f>Data!$B$2:$B$22</xm:f>
          </x14:formula1>
          <xm:sqref>F4</xm:sqref>
        </x14:dataValidation>
        <x14:dataValidation type="list" allowBlank="1" showInputMessage="1" showErrorMessage="1" xr:uid="{FEBBA85A-0EE9-4CE2-81AC-7215249D1480}">
          <x14:formula1>
            <xm:f>Data!$G$2:$G$6</xm:f>
          </x14:formula1>
          <xm:sqref>E8:E26</xm:sqref>
        </x14:dataValidation>
        <x14:dataValidation type="list" allowBlank="1" showInputMessage="1" showErrorMessage="1" xr:uid="{D8D7416C-9B7A-4FC4-B239-A63578BC67BC}">
          <x14:formula1>
            <xm:f>Data!$E$2:$E$37</xm:f>
          </x14:formula1>
          <xm:sqref>B8:B26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80765-921F-49EA-9220-BD5D286F7CE9}">
  <sheetPr>
    <tabColor rgb="FF92D050"/>
    <pageSetUpPr fitToPage="1"/>
  </sheetPr>
  <dimension ref="A1:O41"/>
  <sheetViews>
    <sheetView topLeftCell="A8" zoomScale="55" zoomScaleNormal="55" zoomScaleSheetLayoutView="50" workbookViewId="0">
      <selection activeCell="J29" sqref="J29"/>
    </sheetView>
  </sheetViews>
  <sheetFormatPr defaultRowHeight="14.25" x14ac:dyDescent="0.2"/>
  <cols>
    <col min="2" max="2" width="60.875" customWidth="1"/>
    <col min="3" max="3" width="9.375" customWidth="1"/>
    <col min="4" max="4" width="19.625" customWidth="1"/>
    <col min="5" max="5" width="10.375" customWidth="1"/>
    <col min="6" max="7" width="22.125" customWidth="1"/>
    <col min="8" max="8" width="20.875" customWidth="1"/>
    <col min="9" max="9" width="1.875" customWidth="1"/>
    <col min="10" max="13" width="13.875" customWidth="1"/>
    <col min="14" max="14" width="8.75" customWidth="1"/>
    <col min="15" max="15" width="18.125" customWidth="1"/>
  </cols>
  <sheetData>
    <row r="1" spans="1:15" ht="39.6" customHeight="1" x14ac:dyDescent="0.2">
      <c r="A1" s="61" t="s">
        <v>19</v>
      </c>
      <c r="B1" s="61"/>
      <c r="C1" s="61"/>
      <c r="D1" s="61"/>
      <c r="E1" s="61"/>
      <c r="F1" s="61"/>
      <c r="G1" s="6" t="s">
        <v>17</v>
      </c>
      <c r="H1" s="5" t="s">
        <v>58</v>
      </c>
    </row>
    <row r="2" spans="1:15" ht="40.5" customHeight="1" thickBot="1" x14ac:dyDescent="0.25">
      <c r="A2" s="62"/>
      <c r="B2" s="62"/>
      <c r="C2" s="62"/>
      <c r="D2" s="62"/>
      <c r="E2" s="62"/>
      <c r="F2" s="62"/>
      <c r="G2" s="6" t="s">
        <v>27</v>
      </c>
      <c r="H2" s="15"/>
    </row>
    <row r="3" spans="1:15" ht="48.6" customHeight="1" x14ac:dyDescent="0.2">
      <c r="A3" s="63" t="s">
        <v>1</v>
      </c>
      <c r="B3" s="64"/>
      <c r="C3" s="64"/>
      <c r="D3" s="64"/>
      <c r="E3" s="64"/>
      <c r="F3" s="64"/>
      <c r="G3" s="64"/>
      <c r="H3" s="65"/>
    </row>
    <row r="4" spans="1:15" ht="54.95" customHeight="1" x14ac:dyDescent="0.2">
      <c r="A4" s="33" t="s">
        <v>0</v>
      </c>
      <c r="B4" s="34" t="s">
        <v>21</v>
      </c>
      <c r="C4" s="35"/>
      <c r="D4" s="66" t="s">
        <v>6</v>
      </c>
      <c r="E4" s="66"/>
      <c r="F4" s="57" t="s">
        <v>49</v>
      </c>
      <c r="G4" s="57"/>
      <c r="H4" s="57"/>
    </row>
    <row r="5" spans="1:15" ht="30.95" customHeight="1" x14ac:dyDescent="0.2">
      <c r="A5" s="55" t="s">
        <v>2</v>
      </c>
      <c r="B5" s="67"/>
      <c r="C5" s="37"/>
      <c r="D5" s="55" t="s">
        <v>18</v>
      </c>
      <c r="E5" s="55"/>
      <c r="F5" s="68"/>
      <c r="G5" s="68"/>
      <c r="H5" s="68"/>
      <c r="J5" s="55" t="s">
        <v>38</v>
      </c>
      <c r="K5" s="55"/>
      <c r="L5" s="55"/>
      <c r="M5" s="55"/>
    </row>
    <row r="6" spans="1:15" ht="30.6" customHeight="1" x14ac:dyDescent="0.2">
      <c r="A6" s="55"/>
      <c r="B6" s="67"/>
      <c r="C6" s="37"/>
      <c r="D6" s="56"/>
      <c r="E6" s="57"/>
      <c r="F6" s="68"/>
      <c r="G6" s="68"/>
      <c r="H6" s="68"/>
      <c r="J6" s="58" t="s">
        <v>39</v>
      </c>
      <c r="K6" s="58"/>
      <c r="L6" s="59" t="s">
        <v>41</v>
      </c>
      <c r="M6" s="59"/>
    </row>
    <row r="7" spans="1:15" s="7" customFormat="1" ht="36.6" customHeight="1" x14ac:dyDescent="0.25">
      <c r="A7" s="38" t="s">
        <v>3</v>
      </c>
      <c r="B7" s="38" t="s">
        <v>4</v>
      </c>
      <c r="C7" s="38" t="s">
        <v>42</v>
      </c>
      <c r="D7" s="38" t="s">
        <v>11</v>
      </c>
      <c r="E7" s="38" t="s">
        <v>12</v>
      </c>
      <c r="F7" s="38" t="s">
        <v>9</v>
      </c>
      <c r="G7" s="38" t="s">
        <v>10</v>
      </c>
      <c r="H7" s="39" t="s">
        <v>24</v>
      </c>
      <c r="J7" s="43" t="s">
        <v>40</v>
      </c>
      <c r="K7" s="44" t="s">
        <v>14</v>
      </c>
      <c r="L7" s="45" t="s">
        <v>40</v>
      </c>
      <c r="M7" s="46" t="s">
        <v>14</v>
      </c>
      <c r="N7" s="42" t="s">
        <v>25</v>
      </c>
      <c r="O7" s="42" t="s">
        <v>26</v>
      </c>
    </row>
    <row r="8" spans="1:15" ht="44.45" customHeight="1" x14ac:dyDescent="0.2">
      <c r="A8" s="36">
        <v>1</v>
      </c>
      <c r="B8" s="26" t="s">
        <v>77</v>
      </c>
      <c r="C8" s="27">
        <f>SUMIF(Data!E:E,B8,Data!F:F)</f>
        <v>42</v>
      </c>
      <c r="D8" s="28"/>
      <c r="E8" s="29" t="s">
        <v>14</v>
      </c>
      <c r="F8" s="30"/>
      <c r="G8" s="31"/>
      <c r="H8" s="32">
        <f>+G8-$D$6</f>
        <v>0</v>
      </c>
      <c r="J8" s="47">
        <f t="shared" ref="J8:J26" si="0">ROUNDDOWN((D8/C8),0)</f>
        <v>0</v>
      </c>
      <c r="K8" s="48">
        <f>SUMIF(Data!E:E,'มหาชัย(2)'!B8,Data!F:F)*J8</f>
        <v>0</v>
      </c>
      <c r="L8" s="49">
        <f t="shared" ref="L8:L26" si="1">ROUNDUP((M8/C8),0)</f>
        <v>0</v>
      </c>
      <c r="M8" s="50">
        <f t="shared" ref="M8:M26" si="2">D8-K8</f>
        <v>0</v>
      </c>
      <c r="N8" s="33">
        <f>INDEX(Data!C:C,MATCH(F4,Data!B:B,0))</f>
        <v>60</v>
      </c>
      <c r="O8" s="51">
        <f t="shared" ref="O8:O26" si="3">H8-N8</f>
        <v>-60</v>
      </c>
    </row>
    <row r="9" spans="1:15" ht="44.45" customHeight="1" x14ac:dyDescent="0.2">
      <c r="A9" s="36">
        <v>2</v>
      </c>
      <c r="B9" s="26" t="s">
        <v>66</v>
      </c>
      <c r="C9" s="27">
        <f>SUMIF(Data!E:E,B9,Data!F:F)</f>
        <v>36</v>
      </c>
      <c r="D9" s="28"/>
      <c r="E9" s="29" t="s">
        <v>14</v>
      </c>
      <c r="F9" s="30"/>
      <c r="G9" s="31"/>
      <c r="H9" s="32">
        <f t="shared" ref="H9:H26" si="4">+G9-$D$6</f>
        <v>0</v>
      </c>
      <c r="J9" s="47">
        <f t="shared" si="0"/>
        <v>0</v>
      </c>
      <c r="K9" s="48">
        <f>SUMIF(Data!E:E,'มหาชัย(2)'!B9,Data!F:F)*J9</f>
        <v>0</v>
      </c>
      <c r="L9" s="49">
        <f t="shared" si="1"/>
        <v>0</v>
      </c>
      <c r="M9" s="50">
        <f t="shared" si="2"/>
        <v>0</v>
      </c>
      <c r="N9" s="33" t="e">
        <f>INDEX(Data!C:C,MATCH(F5,Data!B:B,0))</f>
        <v>#N/A</v>
      </c>
      <c r="O9" s="51" t="e">
        <f t="shared" si="3"/>
        <v>#N/A</v>
      </c>
    </row>
    <row r="10" spans="1:15" ht="44.45" customHeight="1" x14ac:dyDescent="0.2">
      <c r="A10" s="36">
        <v>3</v>
      </c>
      <c r="B10" s="26" t="s">
        <v>79</v>
      </c>
      <c r="C10" s="27">
        <f>SUMIF(Data!E:E,B10,Data!F:F)</f>
        <v>42</v>
      </c>
      <c r="D10" s="28"/>
      <c r="E10" s="29" t="s">
        <v>14</v>
      </c>
      <c r="F10" s="30"/>
      <c r="G10" s="31"/>
      <c r="H10" s="32">
        <f t="shared" si="4"/>
        <v>0</v>
      </c>
      <c r="J10" s="47">
        <f t="shared" si="0"/>
        <v>0</v>
      </c>
      <c r="K10" s="48">
        <f>SUMIF(Data!E:E,'มหาชัย(2)'!B10,Data!F:F)*J10</f>
        <v>0</v>
      </c>
      <c r="L10" s="49">
        <f t="shared" si="1"/>
        <v>0</v>
      </c>
      <c r="M10" s="50">
        <f t="shared" si="2"/>
        <v>0</v>
      </c>
      <c r="N10" s="33" t="e">
        <f>INDEX(Data!C:C,MATCH(F6,Data!B:B,0))</f>
        <v>#N/A</v>
      </c>
      <c r="O10" s="51" t="e">
        <f t="shared" si="3"/>
        <v>#N/A</v>
      </c>
    </row>
    <row r="11" spans="1:15" ht="44.45" customHeight="1" x14ac:dyDescent="0.2">
      <c r="A11" s="36">
        <v>4</v>
      </c>
      <c r="B11" s="26" t="s">
        <v>80</v>
      </c>
      <c r="C11" s="27">
        <f>SUMIF(Data!E:E,B11,Data!F:F)</f>
        <v>50</v>
      </c>
      <c r="D11" s="28"/>
      <c r="E11" s="29" t="s">
        <v>14</v>
      </c>
      <c r="F11" s="30"/>
      <c r="G11" s="31"/>
      <c r="H11" s="32">
        <f t="shared" si="4"/>
        <v>0</v>
      </c>
      <c r="J11" s="47">
        <f t="shared" si="0"/>
        <v>0</v>
      </c>
      <c r="K11" s="48">
        <f>SUMIF(Data!E:E,'มหาชัย(2)'!B11,Data!F:F)*J11</f>
        <v>0</v>
      </c>
      <c r="L11" s="49">
        <f t="shared" si="1"/>
        <v>0</v>
      </c>
      <c r="M11" s="50">
        <f t="shared" si="2"/>
        <v>0</v>
      </c>
      <c r="N11" s="33" t="e">
        <f>INDEX(Data!C:C,MATCH(F7,Data!B:B,0))</f>
        <v>#N/A</v>
      </c>
      <c r="O11" s="51" t="e">
        <f t="shared" si="3"/>
        <v>#N/A</v>
      </c>
    </row>
    <row r="12" spans="1:15" ht="44.45" customHeight="1" x14ac:dyDescent="0.2">
      <c r="A12" s="36">
        <v>5</v>
      </c>
      <c r="B12" s="26" t="s">
        <v>71</v>
      </c>
      <c r="C12" s="27">
        <f>SUMIF(Data!E:E,B12,Data!F:F)</f>
        <v>81</v>
      </c>
      <c r="D12" s="28"/>
      <c r="E12" s="29" t="s">
        <v>14</v>
      </c>
      <c r="F12" s="30"/>
      <c r="G12" s="31"/>
      <c r="H12" s="32">
        <f t="shared" si="4"/>
        <v>0</v>
      </c>
      <c r="J12" s="47">
        <f t="shared" si="0"/>
        <v>0</v>
      </c>
      <c r="K12" s="48">
        <f>SUMIF(Data!E:E,'มหาชัย(2)'!B12,Data!F:F)*J12</f>
        <v>0</v>
      </c>
      <c r="L12" s="49">
        <f t="shared" si="1"/>
        <v>0</v>
      </c>
      <c r="M12" s="50">
        <f t="shared" si="2"/>
        <v>0</v>
      </c>
      <c r="N12" s="33" t="e">
        <f>INDEX(Data!C:C,MATCH(F8,Data!B:B,0))</f>
        <v>#N/A</v>
      </c>
      <c r="O12" s="51" t="e">
        <f t="shared" si="3"/>
        <v>#N/A</v>
      </c>
    </row>
    <row r="13" spans="1:15" ht="44.45" customHeight="1" x14ac:dyDescent="0.2">
      <c r="A13" s="36">
        <v>6</v>
      </c>
      <c r="B13" s="26" t="s">
        <v>84</v>
      </c>
      <c r="C13" s="27">
        <f>SUMIF(Data!E:E,B13,Data!F:F)</f>
        <v>42</v>
      </c>
      <c r="D13" s="28"/>
      <c r="E13" s="29" t="s">
        <v>14</v>
      </c>
      <c r="F13" s="30"/>
      <c r="G13" s="31"/>
      <c r="H13" s="32">
        <f t="shared" si="4"/>
        <v>0</v>
      </c>
      <c r="J13" s="47">
        <f t="shared" si="0"/>
        <v>0</v>
      </c>
      <c r="K13" s="48">
        <f>SUMIF(Data!E:E,'มหาชัย(2)'!B13,Data!F:F)*J13</f>
        <v>0</v>
      </c>
      <c r="L13" s="49">
        <f t="shared" si="1"/>
        <v>0</v>
      </c>
      <c r="M13" s="50">
        <f t="shared" si="2"/>
        <v>0</v>
      </c>
      <c r="N13" s="33" t="e">
        <f>INDEX(Data!C:C,MATCH(F9,Data!B:B,0))</f>
        <v>#N/A</v>
      </c>
      <c r="O13" s="51" t="e">
        <f t="shared" si="3"/>
        <v>#N/A</v>
      </c>
    </row>
    <row r="14" spans="1:15" ht="44.45" customHeight="1" x14ac:dyDescent="0.2">
      <c r="A14" s="36">
        <v>7</v>
      </c>
      <c r="B14" s="26" t="s">
        <v>85</v>
      </c>
      <c r="C14" s="27">
        <f>SUMIF(Data!E:E,B14,Data!F:F)</f>
        <v>32</v>
      </c>
      <c r="D14" s="28"/>
      <c r="E14" s="29" t="s">
        <v>14</v>
      </c>
      <c r="F14" s="30"/>
      <c r="G14" s="31"/>
      <c r="H14" s="32">
        <f t="shared" si="4"/>
        <v>0</v>
      </c>
      <c r="J14" s="47">
        <f t="shared" si="0"/>
        <v>0</v>
      </c>
      <c r="K14" s="48">
        <f>SUMIF(Data!E:E,'มหาชัย(2)'!B14,Data!F:F)*J14</f>
        <v>0</v>
      </c>
      <c r="L14" s="49">
        <f t="shared" si="1"/>
        <v>0</v>
      </c>
      <c r="M14" s="50">
        <f t="shared" si="2"/>
        <v>0</v>
      </c>
      <c r="N14" s="33" t="e">
        <f>INDEX(Data!C:C,MATCH(F10,Data!B:B,0))</f>
        <v>#N/A</v>
      </c>
      <c r="O14" s="51" t="e">
        <f t="shared" si="3"/>
        <v>#N/A</v>
      </c>
    </row>
    <row r="15" spans="1:15" ht="44.45" customHeight="1" x14ac:dyDescent="0.2">
      <c r="A15" s="36">
        <v>8</v>
      </c>
      <c r="B15" s="26" t="s">
        <v>76</v>
      </c>
      <c r="C15" s="27">
        <f>SUMIF(Data!E:E,B15,Data!F:F)</f>
        <v>70</v>
      </c>
      <c r="D15" s="28"/>
      <c r="E15" s="29" t="s">
        <v>14</v>
      </c>
      <c r="F15" s="30"/>
      <c r="G15" s="31"/>
      <c r="H15" s="32">
        <f t="shared" si="4"/>
        <v>0</v>
      </c>
      <c r="J15" s="47">
        <f t="shared" si="0"/>
        <v>0</v>
      </c>
      <c r="K15" s="48">
        <f>SUMIF(Data!E:E,'มหาชัย(2)'!B15,Data!F:F)*J15</f>
        <v>0</v>
      </c>
      <c r="L15" s="49">
        <f t="shared" si="1"/>
        <v>0</v>
      </c>
      <c r="M15" s="50">
        <f t="shared" si="2"/>
        <v>0</v>
      </c>
      <c r="N15" s="33" t="e">
        <f>INDEX(Data!C:C,MATCH(F11,Data!B:B,0))</f>
        <v>#N/A</v>
      </c>
      <c r="O15" s="51" t="e">
        <f t="shared" si="3"/>
        <v>#N/A</v>
      </c>
    </row>
    <row r="16" spans="1:15" ht="44.45" customHeight="1" x14ac:dyDescent="0.2">
      <c r="A16" s="36">
        <v>9</v>
      </c>
      <c r="B16" s="26" t="s">
        <v>89</v>
      </c>
      <c r="C16" s="27">
        <f>SUMIF(Data!E:E,B16,Data!F:F)</f>
        <v>45</v>
      </c>
      <c r="D16" s="28"/>
      <c r="E16" s="29" t="s">
        <v>14</v>
      </c>
      <c r="F16" s="30"/>
      <c r="G16" s="31"/>
      <c r="H16" s="32">
        <f t="shared" si="4"/>
        <v>0</v>
      </c>
      <c r="J16" s="47">
        <f t="shared" si="0"/>
        <v>0</v>
      </c>
      <c r="K16" s="48">
        <f>SUMIF(Data!E:E,'มหาชัย(2)'!B16,Data!F:F)*J16</f>
        <v>0</v>
      </c>
      <c r="L16" s="49">
        <f t="shared" si="1"/>
        <v>0</v>
      </c>
      <c r="M16" s="50">
        <f t="shared" si="2"/>
        <v>0</v>
      </c>
      <c r="N16" s="33" t="e">
        <f>INDEX(Data!C:C,MATCH(F12,Data!B:B,0))</f>
        <v>#N/A</v>
      </c>
      <c r="O16" s="51" t="e">
        <f t="shared" si="3"/>
        <v>#N/A</v>
      </c>
    </row>
    <row r="17" spans="1:15" ht="44.45" customHeight="1" x14ac:dyDescent="0.2">
      <c r="A17" s="36">
        <v>10</v>
      </c>
      <c r="B17" s="26" t="s">
        <v>88</v>
      </c>
      <c r="C17" s="27">
        <f>SUMIF(Data!E:E,B17,Data!F:F)</f>
        <v>48</v>
      </c>
      <c r="D17" s="28"/>
      <c r="E17" s="29" t="s">
        <v>14</v>
      </c>
      <c r="F17" s="30"/>
      <c r="G17" s="31"/>
      <c r="H17" s="32">
        <f t="shared" si="4"/>
        <v>0</v>
      </c>
      <c r="J17" s="47">
        <f t="shared" si="0"/>
        <v>0</v>
      </c>
      <c r="K17" s="48">
        <f>SUMIF(Data!E:E,'มหาชัย(2)'!B17,Data!F:F)*J17</f>
        <v>0</v>
      </c>
      <c r="L17" s="49">
        <f t="shared" si="1"/>
        <v>0</v>
      </c>
      <c r="M17" s="50">
        <f t="shared" si="2"/>
        <v>0</v>
      </c>
      <c r="N17" s="33" t="e">
        <f>INDEX(Data!C:C,MATCH(F13,Data!B:B,0))</f>
        <v>#N/A</v>
      </c>
      <c r="O17" s="51" t="e">
        <f t="shared" si="3"/>
        <v>#N/A</v>
      </c>
    </row>
    <row r="18" spans="1:15" ht="44.45" customHeight="1" x14ac:dyDescent="0.2">
      <c r="A18" s="36">
        <v>11</v>
      </c>
      <c r="B18" s="26" t="s">
        <v>87</v>
      </c>
      <c r="C18" s="27">
        <f>SUMIF(Data!E:E,B18,Data!F:F)</f>
        <v>48</v>
      </c>
      <c r="D18" s="28"/>
      <c r="E18" s="29" t="s">
        <v>14</v>
      </c>
      <c r="F18" s="30"/>
      <c r="G18" s="31"/>
      <c r="H18" s="32">
        <f t="shared" si="4"/>
        <v>0</v>
      </c>
      <c r="J18" s="47">
        <f t="shared" si="0"/>
        <v>0</v>
      </c>
      <c r="K18" s="48">
        <f>SUMIF(Data!E:E,'มหาชัย(2)'!B18,Data!F:F)*J18</f>
        <v>0</v>
      </c>
      <c r="L18" s="49">
        <f t="shared" si="1"/>
        <v>0</v>
      </c>
      <c r="M18" s="50">
        <f t="shared" si="2"/>
        <v>0</v>
      </c>
      <c r="N18" s="33" t="e">
        <f>INDEX(Data!C:C,MATCH(F14,Data!B:B,0))</f>
        <v>#N/A</v>
      </c>
      <c r="O18" s="51" t="e">
        <f t="shared" si="3"/>
        <v>#N/A</v>
      </c>
    </row>
    <row r="19" spans="1:15" ht="44.45" customHeight="1" x14ac:dyDescent="0.2">
      <c r="A19" s="36">
        <v>12</v>
      </c>
      <c r="B19" s="26" t="s">
        <v>90</v>
      </c>
      <c r="C19" s="27">
        <f>SUMIF(Data!E:E,B19,Data!F:F)</f>
        <v>60</v>
      </c>
      <c r="D19" s="28"/>
      <c r="E19" s="29" t="s">
        <v>14</v>
      </c>
      <c r="F19" s="30"/>
      <c r="G19" s="31"/>
      <c r="H19" s="32">
        <f t="shared" si="4"/>
        <v>0</v>
      </c>
      <c r="J19" s="47">
        <f t="shared" si="0"/>
        <v>0</v>
      </c>
      <c r="K19" s="48">
        <f>SUMIF(Data!E:E,'มหาชัย(2)'!B19,Data!F:F)*J19</f>
        <v>0</v>
      </c>
      <c r="L19" s="49">
        <f t="shared" si="1"/>
        <v>0</v>
      </c>
      <c r="M19" s="50">
        <f t="shared" si="2"/>
        <v>0</v>
      </c>
      <c r="N19" s="33" t="e">
        <f>INDEX(Data!C:C,MATCH(F15,Data!B:B,0))</f>
        <v>#N/A</v>
      </c>
      <c r="O19" s="51" t="e">
        <f t="shared" si="3"/>
        <v>#N/A</v>
      </c>
    </row>
    <row r="20" spans="1:15" ht="44.45" customHeight="1" x14ac:dyDescent="0.2">
      <c r="A20" s="36">
        <v>13</v>
      </c>
      <c r="B20" s="26" t="s">
        <v>91</v>
      </c>
      <c r="C20" s="27">
        <f>SUMIF(Data!E:E,B20,Data!F:F)</f>
        <v>50</v>
      </c>
      <c r="D20" s="28"/>
      <c r="E20" s="29" t="s">
        <v>14</v>
      </c>
      <c r="F20" s="30"/>
      <c r="G20" s="31"/>
      <c r="H20" s="32">
        <f t="shared" si="4"/>
        <v>0</v>
      </c>
      <c r="J20" s="47">
        <f t="shared" si="0"/>
        <v>0</v>
      </c>
      <c r="K20" s="48">
        <f>SUMIF(Data!E:E,'มหาชัย(2)'!B20,Data!F:F)*J20</f>
        <v>0</v>
      </c>
      <c r="L20" s="49">
        <f t="shared" si="1"/>
        <v>0</v>
      </c>
      <c r="M20" s="50">
        <f t="shared" si="2"/>
        <v>0</v>
      </c>
      <c r="N20" s="33" t="e">
        <f>INDEX(Data!C:C,MATCH(F16,Data!B:B,0))</f>
        <v>#N/A</v>
      </c>
      <c r="O20" s="51" t="e">
        <f t="shared" si="3"/>
        <v>#N/A</v>
      </c>
    </row>
    <row r="21" spans="1:15" ht="44.45" customHeight="1" x14ac:dyDescent="0.2">
      <c r="A21" s="36">
        <v>14</v>
      </c>
      <c r="B21" s="26" t="s">
        <v>93</v>
      </c>
      <c r="C21" s="27">
        <f>SUMIF(Data!E:E,B21,Data!F:F)</f>
        <v>60</v>
      </c>
      <c r="D21" s="28"/>
      <c r="E21" s="29" t="s">
        <v>14</v>
      </c>
      <c r="F21" s="30"/>
      <c r="G21" s="31"/>
      <c r="H21" s="32">
        <f t="shared" si="4"/>
        <v>0</v>
      </c>
      <c r="J21" s="47">
        <f t="shared" si="0"/>
        <v>0</v>
      </c>
      <c r="K21" s="48">
        <f>SUMIF(Data!E:E,'มหาชัย(2)'!B21,Data!F:F)*J21</f>
        <v>0</v>
      </c>
      <c r="L21" s="49">
        <f t="shared" si="1"/>
        <v>0</v>
      </c>
      <c r="M21" s="50">
        <f t="shared" si="2"/>
        <v>0</v>
      </c>
      <c r="N21" s="33" t="e">
        <f>INDEX(Data!C:C,MATCH(F17,Data!B:B,0))</f>
        <v>#N/A</v>
      </c>
      <c r="O21" s="51" t="e">
        <f t="shared" si="3"/>
        <v>#N/A</v>
      </c>
    </row>
    <row r="22" spans="1:15" ht="44.45" customHeight="1" x14ac:dyDescent="0.2">
      <c r="A22" s="36">
        <v>15</v>
      </c>
      <c r="B22" s="26" t="s">
        <v>94</v>
      </c>
      <c r="C22" s="27">
        <f>SUMIF(Data!E:E,B22,Data!F:F)</f>
        <v>55</v>
      </c>
      <c r="D22" s="28"/>
      <c r="E22" s="29" t="s">
        <v>14</v>
      </c>
      <c r="F22" s="30"/>
      <c r="G22" s="31"/>
      <c r="H22" s="32">
        <f t="shared" si="4"/>
        <v>0</v>
      </c>
      <c r="J22" s="47">
        <f t="shared" si="0"/>
        <v>0</v>
      </c>
      <c r="K22" s="48">
        <f>SUMIF(Data!E:E,'มหาชัย(2)'!B22,Data!F:F)*J22</f>
        <v>0</v>
      </c>
      <c r="L22" s="49">
        <f t="shared" si="1"/>
        <v>0</v>
      </c>
      <c r="M22" s="50">
        <f t="shared" si="2"/>
        <v>0</v>
      </c>
      <c r="N22" s="33" t="e">
        <f>INDEX(Data!C:C,MATCH(F18,Data!B:B,0))</f>
        <v>#N/A</v>
      </c>
      <c r="O22" s="51" t="e">
        <f t="shared" si="3"/>
        <v>#N/A</v>
      </c>
    </row>
    <row r="23" spans="1:15" ht="44.45" customHeight="1" x14ac:dyDescent="0.2">
      <c r="A23" s="36">
        <v>16</v>
      </c>
      <c r="B23" s="26" t="s">
        <v>95</v>
      </c>
      <c r="C23" s="27">
        <f>SUMIF(Data!E:E,B23,Data!F:F)</f>
        <v>50</v>
      </c>
      <c r="D23" s="28"/>
      <c r="E23" s="29" t="s">
        <v>14</v>
      </c>
      <c r="F23" s="30"/>
      <c r="G23" s="31"/>
      <c r="H23" s="32">
        <f t="shared" si="4"/>
        <v>0</v>
      </c>
      <c r="J23" s="47">
        <f t="shared" si="0"/>
        <v>0</v>
      </c>
      <c r="K23" s="48">
        <f>SUMIF(Data!E:E,'มหาชัย(2)'!B23,Data!F:F)*J23</f>
        <v>0</v>
      </c>
      <c r="L23" s="49">
        <f t="shared" si="1"/>
        <v>0</v>
      </c>
      <c r="M23" s="50">
        <f t="shared" si="2"/>
        <v>0</v>
      </c>
      <c r="N23" s="33" t="e">
        <f>INDEX(Data!C:C,MATCH(F19,Data!B:B,0))</f>
        <v>#N/A</v>
      </c>
      <c r="O23" s="51" t="e">
        <f t="shared" si="3"/>
        <v>#N/A</v>
      </c>
    </row>
    <row r="24" spans="1:15" ht="44.45" customHeight="1" x14ac:dyDescent="0.2">
      <c r="A24" s="36">
        <v>17</v>
      </c>
      <c r="B24" s="26" t="s">
        <v>98</v>
      </c>
      <c r="C24" s="27">
        <f>SUMIF(Data!E:E,B24,Data!F:F)</f>
        <v>55</v>
      </c>
      <c r="D24" s="28"/>
      <c r="E24" s="29" t="s">
        <v>14</v>
      </c>
      <c r="F24" s="30"/>
      <c r="G24" s="31"/>
      <c r="H24" s="32">
        <f t="shared" si="4"/>
        <v>0</v>
      </c>
      <c r="J24" s="47">
        <f t="shared" si="0"/>
        <v>0</v>
      </c>
      <c r="K24" s="48">
        <f>SUMIF(Data!E:E,'มหาชัย(2)'!B24,Data!F:F)*J24</f>
        <v>0</v>
      </c>
      <c r="L24" s="49">
        <f t="shared" si="1"/>
        <v>0</v>
      </c>
      <c r="M24" s="50">
        <f t="shared" si="2"/>
        <v>0</v>
      </c>
      <c r="N24" s="33" t="e">
        <f>INDEX(Data!C:C,MATCH(F20,Data!B:B,0))</f>
        <v>#N/A</v>
      </c>
      <c r="O24" s="51" t="e">
        <f t="shared" si="3"/>
        <v>#N/A</v>
      </c>
    </row>
    <row r="25" spans="1:15" ht="44.45" customHeight="1" x14ac:dyDescent="0.2">
      <c r="A25" s="36">
        <v>18</v>
      </c>
      <c r="B25" s="26" t="s">
        <v>99</v>
      </c>
      <c r="C25" s="27">
        <f>SUMIF(Data!E:E,B25,Data!F:F)</f>
        <v>55</v>
      </c>
      <c r="D25" s="28"/>
      <c r="E25" s="29" t="s">
        <v>14</v>
      </c>
      <c r="F25" s="30"/>
      <c r="G25" s="31"/>
      <c r="H25" s="32">
        <f t="shared" si="4"/>
        <v>0</v>
      </c>
      <c r="J25" s="47">
        <f t="shared" si="0"/>
        <v>0</v>
      </c>
      <c r="K25" s="48">
        <f>SUMIF(Data!E:E,'มหาชัย(2)'!B25,Data!F:F)*J25</f>
        <v>0</v>
      </c>
      <c r="L25" s="49">
        <f t="shared" si="1"/>
        <v>0</v>
      </c>
      <c r="M25" s="50">
        <f t="shared" si="2"/>
        <v>0</v>
      </c>
      <c r="N25" s="33" t="e">
        <f>INDEX(Data!C:C,MATCH(F21,Data!B:B,0))</f>
        <v>#N/A</v>
      </c>
      <c r="O25" s="51" t="e">
        <f t="shared" si="3"/>
        <v>#N/A</v>
      </c>
    </row>
    <row r="26" spans="1:15" ht="44.45" customHeight="1" x14ac:dyDescent="0.2">
      <c r="A26" s="36">
        <v>19</v>
      </c>
      <c r="B26" s="26" t="s">
        <v>100</v>
      </c>
      <c r="C26" s="27">
        <f>SUMIF(Data!E:E,B26,Data!F:F)</f>
        <v>81</v>
      </c>
      <c r="D26" s="28"/>
      <c r="E26" s="29" t="s">
        <v>14</v>
      </c>
      <c r="F26" s="30"/>
      <c r="G26" s="31"/>
      <c r="H26" s="32">
        <f t="shared" si="4"/>
        <v>0</v>
      </c>
      <c r="J26" s="47">
        <f t="shared" si="0"/>
        <v>0</v>
      </c>
      <c r="K26" s="48">
        <f>SUMIF(Data!E:E,'มหาชัย(2)'!B26,Data!F:F)*J26</f>
        <v>0</v>
      </c>
      <c r="L26" s="49">
        <f t="shared" si="1"/>
        <v>0</v>
      </c>
      <c r="M26" s="50">
        <f t="shared" si="2"/>
        <v>0</v>
      </c>
      <c r="N26" s="33" t="e">
        <f>INDEX(Data!C:C,MATCH(F22,Data!B:B,0))</f>
        <v>#N/A</v>
      </c>
      <c r="O26" s="51" t="e">
        <f t="shared" si="3"/>
        <v>#N/A</v>
      </c>
    </row>
    <row r="27" spans="1:15" ht="54.6" customHeight="1" x14ac:dyDescent="0.2">
      <c r="A27" s="60" t="s">
        <v>5</v>
      </c>
      <c r="B27" s="60"/>
      <c r="C27" s="40"/>
      <c r="D27" s="41"/>
      <c r="E27" s="42"/>
      <c r="F27" s="42"/>
      <c r="G27" s="42"/>
      <c r="H27" s="1"/>
      <c r="J27" s="14" t="s">
        <v>39</v>
      </c>
      <c r="K27" s="14" t="s">
        <v>41</v>
      </c>
      <c r="L27" s="14" t="s">
        <v>57</v>
      </c>
    </row>
    <row r="28" spans="1:15" ht="20.100000000000001" customHeight="1" x14ac:dyDescent="0.2">
      <c r="J28" s="13">
        <f>SUM($J$8:$J$26)</f>
        <v>0</v>
      </c>
      <c r="K28" s="13">
        <f>SUM($L$8:$L$26)</f>
        <v>0</v>
      </c>
      <c r="L28" s="13">
        <f>SUM(J28:K28)</f>
        <v>0</v>
      </c>
    </row>
    <row r="29" spans="1:15" ht="20.100000000000001" customHeight="1" x14ac:dyDescent="0.2">
      <c r="L29" s="13"/>
    </row>
    <row r="30" spans="1:15" ht="61.5" customHeight="1" x14ac:dyDescent="0.25">
      <c r="A30" s="8"/>
      <c r="B30" s="9" t="s">
        <v>29</v>
      </c>
      <c r="C30" s="9"/>
      <c r="G30" s="8" t="s">
        <v>31</v>
      </c>
      <c r="K30" s="11"/>
      <c r="L30" s="8"/>
      <c r="N30" s="8"/>
      <c r="O30" s="8"/>
    </row>
    <row r="31" spans="1:15" ht="61.5" customHeight="1" x14ac:dyDescent="0.25">
      <c r="A31" s="8"/>
      <c r="B31" s="8" t="s">
        <v>28</v>
      </c>
      <c r="C31" s="8"/>
      <c r="F31" s="8"/>
      <c r="G31" s="8" t="s">
        <v>32</v>
      </c>
      <c r="H31" s="8"/>
      <c r="K31" s="11"/>
      <c r="L31" s="8"/>
      <c r="N31" s="8"/>
      <c r="O31" s="8"/>
    </row>
    <row r="32" spans="1:15" ht="61.5" customHeight="1" x14ac:dyDescent="0.25">
      <c r="A32" s="8"/>
      <c r="B32" s="8" t="s">
        <v>30</v>
      </c>
      <c r="C32" s="8"/>
      <c r="F32" s="8"/>
      <c r="G32" s="8" t="s">
        <v>33</v>
      </c>
      <c r="H32" s="9"/>
      <c r="J32" s="11"/>
      <c r="L32" s="9"/>
      <c r="N32" s="9"/>
      <c r="O32" s="9"/>
    </row>
    <row r="33" ht="20.100000000000001" customHeight="1" x14ac:dyDescent="0.2"/>
    <row r="34" ht="20.100000000000001" customHeight="1" x14ac:dyDescent="0.2"/>
    <row r="35" ht="20.100000000000001" customHeight="1" x14ac:dyDescent="0.2"/>
    <row r="36" ht="20.100000000000001" customHeight="1" x14ac:dyDescent="0.2"/>
    <row r="37" ht="20.100000000000001" customHeight="1" x14ac:dyDescent="0.2"/>
    <row r="38" ht="20.100000000000001" customHeight="1" x14ac:dyDescent="0.2"/>
    <row r="39" ht="20.100000000000001" customHeight="1" x14ac:dyDescent="0.2"/>
    <row r="40" ht="20.100000000000001" customHeight="1" x14ac:dyDescent="0.2"/>
    <row r="41" ht="20.100000000000001" customHeight="1" x14ac:dyDescent="0.2"/>
  </sheetData>
  <mergeCells count="13">
    <mergeCell ref="A1:F2"/>
    <mergeCell ref="A3:H3"/>
    <mergeCell ref="D4:E4"/>
    <mergeCell ref="F4:H4"/>
    <mergeCell ref="A5:A6"/>
    <mergeCell ref="B5:B6"/>
    <mergeCell ref="D5:E5"/>
    <mergeCell ref="F5:H6"/>
    <mergeCell ref="J5:M5"/>
    <mergeCell ref="D6:E6"/>
    <mergeCell ref="J6:K6"/>
    <mergeCell ref="L6:M6"/>
    <mergeCell ref="A27:B27"/>
  </mergeCells>
  <conditionalFormatting sqref="H8:H26">
    <cfRule type="cellIs" dxfId="17" priority="5" operator="lessThan">
      <formula>-1</formula>
    </cfRule>
    <cfRule type="cellIs" dxfId="16" priority="6" operator="equal">
      <formula>"-"</formula>
    </cfRule>
  </conditionalFormatting>
  <conditionalFormatting sqref="J8:O26">
    <cfRule type="containsErrors" dxfId="15" priority="4">
      <formula>ISERROR(J8)</formula>
    </cfRule>
  </conditionalFormatting>
  <conditionalFormatting sqref="O8:O26">
    <cfRule type="cellIs" dxfId="14" priority="1" operator="lessThan">
      <formula>0</formula>
    </cfRule>
    <cfRule type="cellIs" dxfId="13" priority="2" operator="greaterThan">
      <formula>15</formula>
    </cfRule>
    <cfRule type="cellIs" dxfId="12" priority="3" operator="lessThan">
      <formula>16</formula>
    </cfRule>
  </conditionalFormatting>
  <pageMargins left="0.7" right="0.7" top="0.75" bottom="0.75" header="0.3" footer="0.3"/>
  <pageSetup paperSize="9" scale="38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B8D6AF5-E9AA-44FF-9596-B39B9609D6D1}">
          <x14:formula1>
            <xm:f>Data!$B$2:$B$22</xm:f>
          </x14:formula1>
          <xm:sqref>F4</xm:sqref>
        </x14:dataValidation>
        <x14:dataValidation type="list" allowBlank="1" showInputMessage="1" showErrorMessage="1" xr:uid="{156B1E79-6296-4795-8B67-42A0699A258B}">
          <x14:formula1>
            <xm:f>Data!$G$2:$G$6</xm:f>
          </x14:formula1>
          <xm:sqref>E8:E26</xm:sqref>
        </x14:dataValidation>
        <x14:dataValidation type="list" allowBlank="1" showInputMessage="1" showErrorMessage="1" xr:uid="{71612F84-D2CB-41B6-8657-2964CC3E501B}">
          <x14:formula1>
            <xm:f>Data!$E$2:$E$37</xm:f>
          </x14:formula1>
          <xm:sqref>B8:B26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3E9B0-BC0C-4C5B-8AEC-5239BAE2F431}">
  <sheetPr>
    <tabColor rgb="FF92D050"/>
    <pageSetUpPr fitToPage="1"/>
  </sheetPr>
  <dimension ref="A1:O41"/>
  <sheetViews>
    <sheetView topLeftCell="A10" zoomScale="55" zoomScaleNormal="55" zoomScaleSheetLayoutView="50" workbookViewId="0">
      <selection activeCell="B26" sqref="B26"/>
    </sheetView>
  </sheetViews>
  <sheetFormatPr defaultRowHeight="14.25" x14ac:dyDescent="0.2"/>
  <cols>
    <col min="2" max="2" width="60.875" customWidth="1"/>
    <col min="3" max="3" width="9.375" customWidth="1"/>
    <col min="4" max="4" width="19.625" customWidth="1"/>
    <col min="5" max="5" width="10.375" customWidth="1"/>
    <col min="6" max="7" width="22.125" customWidth="1"/>
    <col min="8" max="8" width="20.875" customWidth="1"/>
    <col min="9" max="9" width="1.875" customWidth="1"/>
    <col min="10" max="13" width="13.875" customWidth="1"/>
    <col min="14" max="14" width="8.75" customWidth="1"/>
    <col min="15" max="15" width="18.125" customWidth="1"/>
  </cols>
  <sheetData>
    <row r="1" spans="1:15" ht="39.6" customHeight="1" x14ac:dyDescent="0.2">
      <c r="A1" s="61" t="s">
        <v>19</v>
      </c>
      <c r="B1" s="61"/>
      <c r="C1" s="61"/>
      <c r="D1" s="61"/>
      <c r="E1" s="61"/>
      <c r="F1" s="61"/>
      <c r="G1" s="6" t="s">
        <v>17</v>
      </c>
      <c r="H1" s="5" t="s">
        <v>58</v>
      </c>
    </row>
    <row r="2" spans="1:15" ht="40.5" customHeight="1" thickBot="1" x14ac:dyDescent="0.25">
      <c r="A2" s="62"/>
      <c r="B2" s="62"/>
      <c r="C2" s="62"/>
      <c r="D2" s="62"/>
      <c r="E2" s="62"/>
      <c r="F2" s="62"/>
      <c r="G2" s="6" t="s">
        <v>27</v>
      </c>
      <c r="H2" s="15"/>
    </row>
    <row r="3" spans="1:15" ht="48.6" customHeight="1" x14ac:dyDescent="0.2">
      <c r="A3" s="63" t="s">
        <v>1</v>
      </c>
      <c r="B3" s="64"/>
      <c r="C3" s="64"/>
      <c r="D3" s="64"/>
      <c r="E3" s="64"/>
      <c r="F3" s="64"/>
      <c r="G3" s="64"/>
      <c r="H3" s="65"/>
    </row>
    <row r="4" spans="1:15" ht="54.95" customHeight="1" x14ac:dyDescent="0.2">
      <c r="A4" s="33" t="s">
        <v>0</v>
      </c>
      <c r="B4" s="34" t="s">
        <v>21</v>
      </c>
      <c r="C4" s="35"/>
      <c r="D4" s="66" t="s">
        <v>6</v>
      </c>
      <c r="E4" s="66"/>
      <c r="F4" s="57" t="s">
        <v>49</v>
      </c>
      <c r="G4" s="57"/>
      <c r="H4" s="57"/>
    </row>
    <row r="5" spans="1:15" ht="30.95" customHeight="1" x14ac:dyDescent="0.2">
      <c r="A5" s="55" t="s">
        <v>2</v>
      </c>
      <c r="B5" s="67"/>
      <c r="C5" s="37"/>
      <c r="D5" s="55" t="s">
        <v>18</v>
      </c>
      <c r="E5" s="55"/>
      <c r="F5" s="68"/>
      <c r="G5" s="68"/>
      <c r="H5" s="68"/>
      <c r="J5" s="55" t="s">
        <v>38</v>
      </c>
      <c r="K5" s="55"/>
      <c r="L5" s="55"/>
      <c r="M5" s="55"/>
    </row>
    <row r="6" spans="1:15" ht="30.6" customHeight="1" x14ac:dyDescent="0.2">
      <c r="A6" s="55"/>
      <c r="B6" s="67"/>
      <c r="C6" s="37"/>
      <c r="D6" s="56"/>
      <c r="E6" s="57"/>
      <c r="F6" s="68"/>
      <c r="G6" s="68"/>
      <c r="H6" s="68"/>
      <c r="J6" s="58" t="s">
        <v>39</v>
      </c>
      <c r="K6" s="58"/>
      <c r="L6" s="59" t="s">
        <v>41</v>
      </c>
      <c r="M6" s="59"/>
    </row>
    <row r="7" spans="1:15" s="7" customFormat="1" ht="36.6" customHeight="1" x14ac:dyDescent="0.25">
      <c r="A7" s="38" t="s">
        <v>3</v>
      </c>
      <c r="B7" s="38" t="s">
        <v>4</v>
      </c>
      <c r="C7" s="38" t="s">
        <v>42</v>
      </c>
      <c r="D7" s="38" t="s">
        <v>11</v>
      </c>
      <c r="E7" s="38" t="s">
        <v>12</v>
      </c>
      <c r="F7" s="38" t="s">
        <v>9</v>
      </c>
      <c r="G7" s="38" t="s">
        <v>10</v>
      </c>
      <c r="H7" s="39" t="s">
        <v>24</v>
      </c>
      <c r="J7" s="43" t="s">
        <v>40</v>
      </c>
      <c r="K7" s="44" t="s">
        <v>14</v>
      </c>
      <c r="L7" s="45" t="s">
        <v>40</v>
      </c>
      <c r="M7" s="46" t="s">
        <v>14</v>
      </c>
      <c r="N7" s="42" t="s">
        <v>25</v>
      </c>
      <c r="O7" s="42" t="s">
        <v>26</v>
      </c>
    </row>
    <row r="8" spans="1:15" ht="44.45" customHeight="1" x14ac:dyDescent="0.2">
      <c r="A8" s="36">
        <v>1</v>
      </c>
      <c r="B8" s="26" t="s">
        <v>77</v>
      </c>
      <c r="C8" s="27">
        <f>SUMIF(Data!E:E,B8,Data!F:F)</f>
        <v>42</v>
      </c>
      <c r="D8" s="28"/>
      <c r="E8" s="29" t="s">
        <v>14</v>
      </c>
      <c r="F8" s="30"/>
      <c r="G8" s="31"/>
      <c r="H8" s="32">
        <f>+G8-$D$6</f>
        <v>0</v>
      </c>
      <c r="J8" s="47">
        <f t="shared" ref="J8:J26" si="0">ROUNDDOWN((D8/C8),0)</f>
        <v>0</v>
      </c>
      <c r="K8" s="48">
        <f>SUMIF(Data!E:E,'มหาชัย(2)'!B8,Data!F:F)*J8</f>
        <v>0</v>
      </c>
      <c r="L8" s="49">
        <f t="shared" ref="L8:L26" si="1">ROUNDUP((M8/C8),0)</f>
        <v>0</v>
      </c>
      <c r="M8" s="50">
        <f t="shared" ref="M8:M26" si="2">D8-K8</f>
        <v>0</v>
      </c>
      <c r="N8" s="33">
        <f>INDEX(Data!C:C,MATCH(F4,Data!B:B,0))</f>
        <v>60</v>
      </c>
      <c r="O8" s="51">
        <f t="shared" ref="O8:O26" si="3">H8-N8</f>
        <v>-60</v>
      </c>
    </row>
    <row r="9" spans="1:15" ht="44.45" customHeight="1" x14ac:dyDescent="0.2">
      <c r="A9" s="36">
        <v>2</v>
      </c>
      <c r="B9" s="26" t="s">
        <v>66</v>
      </c>
      <c r="C9" s="27">
        <f>SUMIF(Data!E:E,B9,Data!F:F)</f>
        <v>36</v>
      </c>
      <c r="D9" s="28"/>
      <c r="E9" s="29" t="s">
        <v>14</v>
      </c>
      <c r="F9" s="30"/>
      <c r="G9" s="31"/>
      <c r="H9" s="32">
        <f t="shared" ref="H9:H26" si="4">+G9-$D$6</f>
        <v>0</v>
      </c>
      <c r="J9" s="47">
        <f t="shared" si="0"/>
        <v>0</v>
      </c>
      <c r="K9" s="48">
        <f>SUMIF(Data!E:E,'มหาชัย(2)'!B9,Data!F:F)*J9</f>
        <v>0</v>
      </c>
      <c r="L9" s="49">
        <f t="shared" si="1"/>
        <v>0</v>
      </c>
      <c r="M9" s="50">
        <f t="shared" si="2"/>
        <v>0</v>
      </c>
      <c r="N9" s="33" t="e">
        <f>INDEX(Data!C:C,MATCH(F5,Data!B:B,0))</f>
        <v>#N/A</v>
      </c>
      <c r="O9" s="51" t="e">
        <f t="shared" si="3"/>
        <v>#N/A</v>
      </c>
    </row>
    <row r="10" spans="1:15" ht="44.45" customHeight="1" x14ac:dyDescent="0.2">
      <c r="A10" s="36">
        <v>3</v>
      </c>
      <c r="B10" s="26" t="s">
        <v>79</v>
      </c>
      <c r="C10" s="27">
        <f>SUMIF(Data!E:E,B10,Data!F:F)</f>
        <v>42</v>
      </c>
      <c r="D10" s="28"/>
      <c r="E10" s="29" t="s">
        <v>14</v>
      </c>
      <c r="F10" s="30"/>
      <c r="G10" s="31"/>
      <c r="H10" s="32">
        <f t="shared" si="4"/>
        <v>0</v>
      </c>
      <c r="J10" s="47">
        <f t="shared" si="0"/>
        <v>0</v>
      </c>
      <c r="K10" s="48">
        <f>SUMIF(Data!E:E,'มหาชัย(2)'!B10,Data!F:F)*J10</f>
        <v>0</v>
      </c>
      <c r="L10" s="49">
        <f t="shared" si="1"/>
        <v>0</v>
      </c>
      <c r="M10" s="50">
        <f t="shared" si="2"/>
        <v>0</v>
      </c>
      <c r="N10" s="33" t="e">
        <f>INDEX(Data!C:C,MATCH(F6,Data!B:B,0))</f>
        <v>#N/A</v>
      </c>
      <c r="O10" s="51" t="e">
        <f t="shared" si="3"/>
        <v>#N/A</v>
      </c>
    </row>
    <row r="11" spans="1:15" ht="44.45" customHeight="1" x14ac:dyDescent="0.2">
      <c r="A11" s="36">
        <v>4</v>
      </c>
      <c r="B11" s="26" t="s">
        <v>80</v>
      </c>
      <c r="C11" s="27">
        <f>SUMIF(Data!E:E,B11,Data!F:F)</f>
        <v>50</v>
      </c>
      <c r="D11" s="28"/>
      <c r="E11" s="29" t="s">
        <v>14</v>
      </c>
      <c r="F11" s="30"/>
      <c r="G11" s="31"/>
      <c r="H11" s="32">
        <f t="shared" si="4"/>
        <v>0</v>
      </c>
      <c r="J11" s="47">
        <f t="shared" si="0"/>
        <v>0</v>
      </c>
      <c r="K11" s="48">
        <f>SUMIF(Data!E:E,'มหาชัย(2)'!B11,Data!F:F)*J11</f>
        <v>0</v>
      </c>
      <c r="L11" s="49">
        <f t="shared" si="1"/>
        <v>0</v>
      </c>
      <c r="M11" s="50">
        <f t="shared" si="2"/>
        <v>0</v>
      </c>
      <c r="N11" s="33" t="e">
        <f>INDEX(Data!C:C,MATCH(F7,Data!B:B,0))</f>
        <v>#N/A</v>
      </c>
      <c r="O11" s="51" t="e">
        <f t="shared" si="3"/>
        <v>#N/A</v>
      </c>
    </row>
    <row r="12" spans="1:15" ht="44.45" customHeight="1" x14ac:dyDescent="0.2">
      <c r="A12" s="36">
        <v>5</v>
      </c>
      <c r="B12" s="26" t="s">
        <v>71</v>
      </c>
      <c r="C12" s="27">
        <f>SUMIF(Data!E:E,B12,Data!F:F)</f>
        <v>81</v>
      </c>
      <c r="D12" s="28"/>
      <c r="E12" s="29" t="s">
        <v>14</v>
      </c>
      <c r="F12" s="30"/>
      <c r="G12" s="31"/>
      <c r="H12" s="32">
        <f t="shared" si="4"/>
        <v>0</v>
      </c>
      <c r="J12" s="47">
        <f t="shared" si="0"/>
        <v>0</v>
      </c>
      <c r="K12" s="48">
        <f>SUMIF(Data!E:E,'มหาชัย(2)'!B12,Data!F:F)*J12</f>
        <v>0</v>
      </c>
      <c r="L12" s="49">
        <f t="shared" si="1"/>
        <v>0</v>
      </c>
      <c r="M12" s="50">
        <f t="shared" si="2"/>
        <v>0</v>
      </c>
      <c r="N12" s="33" t="e">
        <f>INDEX(Data!C:C,MATCH(F8,Data!B:B,0))</f>
        <v>#N/A</v>
      </c>
      <c r="O12" s="51" t="e">
        <f t="shared" si="3"/>
        <v>#N/A</v>
      </c>
    </row>
    <row r="13" spans="1:15" ht="44.45" customHeight="1" x14ac:dyDescent="0.2">
      <c r="A13" s="36">
        <v>6</v>
      </c>
      <c r="B13" s="26" t="s">
        <v>84</v>
      </c>
      <c r="C13" s="27">
        <f>SUMIF(Data!E:E,B13,Data!F:F)</f>
        <v>42</v>
      </c>
      <c r="D13" s="28"/>
      <c r="E13" s="29" t="s">
        <v>14</v>
      </c>
      <c r="F13" s="30"/>
      <c r="G13" s="31"/>
      <c r="H13" s="32">
        <f t="shared" si="4"/>
        <v>0</v>
      </c>
      <c r="J13" s="47">
        <f t="shared" si="0"/>
        <v>0</v>
      </c>
      <c r="K13" s="48">
        <f>SUMIF(Data!E:E,'มหาชัย(2)'!B13,Data!F:F)*J13</f>
        <v>0</v>
      </c>
      <c r="L13" s="49">
        <f t="shared" si="1"/>
        <v>0</v>
      </c>
      <c r="M13" s="50">
        <f t="shared" si="2"/>
        <v>0</v>
      </c>
      <c r="N13" s="33" t="e">
        <f>INDEX(Data!C:C,MATCH(F9,Data!B:B,0))</f>
        <v>#N/A</v>
      </c>
      <c r="O13" s="51" t="e">
        <f t="shared" si="3"/>
        <v>#N/A</v>
      </c>
    </row>
    <row r="14" spans="1:15" ht="44.45" customHeight="1" x14ac:dyDescent="0.2">
      <c r="A14" s="36">
        <v>7</v>
      </c>
      <c r="B14" s="26" t="s">
        <v>85</v>
      </c>
      <c r="C14" s="27">
        <f>SUMIF(Data!E:E,B14,Data!F:F)</f>
        <v>32</v>
      </c>
      <c r="D14" s="28"/>
      <c r="E14" s="29" t="s">
        <v>14</v>
      </c>
      <c r="F14" s="30"/>
      <c r="G14" s="31"/>
      <c r="H14" s="32">
        <f t="shared" si="4"/>
        <v>0</v>
      </c>
      <c r="J14" s="47">
        <f t="shared" si="0"/>
        <v>0</v>
      </c>
      <c r="K14" s="48">
        <f>SUMIF(Data!E:E,'มหาชัย(2)'!B14,Data!F:F)*J14</f>
        <v>0</v>
      </c>
      <c r="L14" s="49">
        <f t="shared" si="1"/>
        <v>0</v>
      </c>
      <c r="M14" s="50">
        <f t="shared" si="2"/>
        <v>0</v>
      </c>
      <c r="N14" s="33" t="e">
        <f>INDEX(Data!C:C,MATCH(F10,Data!B:B,0))</f>
        <v>#N/A</v>
      </c>
      <c r="O14" s="51" t="e">
        <f t="shared" si="3"/>
        <v>#N/A</v>
      </c>
    </row>
    <row r="15" spans="1:15" ht="44.45" customHeight="1" x14ac:dyDescent="0.2">
      <c r="A15" s="36">
        <v>8</v>
      </c>
      <c r="B15" s="26" t="s">
        <v>76</v>
      </c>
      <c r="C15" s="27">
        <f>SUMIF(Data!E:E,B15,Data!F:F)</f>
        <v>70</v>
      </c>
      <c r="D15" s="28"/>
      <c r="E15" s="29" t="s">
        <v>14</v>
      </c>
      <c r="F15" s="30"/>
      <c r="G15" s="31"/>
      <c r="H15" s="32">
        <f t="shared" si="4"/>
        <v>0</v>
      </c>
      <c r="J15" s="47">
        <f t="shared" si="0"/>
        <v>0</v>
      </c>
      <c r="K15" s="48">
        <f>SUMIF(Data!E:E,'มหาชัย(2)'!B15,Data!F:F)*J15</f>
        <v>0</v>
      </c>
      <c r="L15" s="49">
        <f t="shared" si="1"/>
        <v>0</v>
      </c>
      <c r="M15" s="50">
        <f t="shared" si="2"/>
        <v>0</v>
      </c>
      <c r="N15" s="33" t="e">
        <f>INDEX(Data!C:C,MATCH(F11,Data!B:B,0))</f>
        <v>#N/A</v>
      </c>
      <c r="O15" s="51" t="e">
        <f t="shared" si="3"/>
        <v>#N/A</v>
      </c>
    </row>
    <row r="16" spans="1:15" ht="44.45" customHeight="1" x14ac:dyDescent="0.2">
      <c r="A16" s="36">
        <v>9</v>
      </c>
      <c r="B16" s="26" t="s">
        <v>89</v>
      </c>
      <c r="C16" s="27">
        <f>SUMIF(Data!E:E,B16,Data!F:F)</f>
        <v>45</v>
      </c>
      <c r="D16" s="28"/>
      <c r="E16" s="29" t="s">
        <v>14</v>
      </c>
      <c r="F16" s="30"/>
      <c r="G16" s="31"/>
      <c r="H16" s="32">
        <f t="shared" si="4"/>
        <v>0</v>
      </c>
      <c r="J16" s="47">
        <f t="shared" si="0"/>
        <v>0</v>
      </c>
      <c r="K16" s="48">
        <f>SUMIF(Data!E:E,'มหาชัย(2)'!B16,Data!F:F)*J16</f>
        <v>0</v>
      </c>
      <c r="L16" s="49">
        <f t="shared" si="1"/>
        <v>0</v>
      </c>
      <c r="M16" s="50">
        <f t="shared" si="2"/>
        <v>0</v>
      </c>
      <c r="N16" s="33" t="e">
        <f>INDEX(Data!C:C,MATCH(F12,Data!B:B,0))</f>
        <v>#N/A</v>
      </c>
      <c r="O16" s="51" t="e">
        <f t="shared" si="3"/>
        <v>#N/A</v>
      </c>
    </row>
    <row r="17" spans="1:15" ht="44.45" customHeight="1" x14ac:dyDescent="0.2">
      <c r="A17" s="36">
        <v>10</v>
      </c>
      <c r="B17" s="26" t="s">
        <v>88</v>
      </c>
      <c r="C17" s="27">
        <f>SUMIF(Data!E:E,B17,Data!F:F)</f>
        <v>48</v>
      </c>
      <c r="D17" s="28"/>
      <c r="E17" s="29" t="s">
        <v>14</v>
      </c>
      <c r="F17" s="30"/>
      <c r="G17" s="31"/>
      <c r="H17" s="32">
        <f t="shared" si="4"/>
        <v>0</v>
      </c>
      <c r="J17" s="47">
        <f t="shared" si="0"/>
        <v>0</v>
      </c>
      <c r="K17" s="48">
        <f>SUMIF(Data!E:E,'มหาชัย(2)'!B17,Data!F:F)*J17</f>
        <v>0</v>
      </c>
      <c r="L17" s="49">
        <f t="shared" si="1"/>
        <v>0</v>
      </c>
      <c r="M17" s="50">
        <f t="shared" si="2"/>
        <v>0</v>
      </c>
      <c r="N17" s="33" t="e">
        <f>INDEX(Data!C:C,MATCH(F13,Data!B:B,0))</f>
        <v>#N/A</v>
      </c>
      <c r="O17" s="51" t="e">
        <f t="shared" si="3"/>
        <v>#N/A</v>
      </c>
    </row>
    <row r="18" spans="1:15" ht="44.45" customHeight="1" x14ac:dyDescent="0.2">
      <c r="A18" s="36">
        <v>11</v>
      </c>
      <c r="B18" s="26" t="s">
        <v>87</v>
      </c>
      <c r="C18" s="27">
        <f>SUMIF(Data!E:E,B18,Data!F:F)</f>
        <v>48</v>
      </c>
      <c r="D18" s="28"/>
      <c r="E18" s="29" t="s">
        <v>14</v>
      </c>
      <c r="F18" s="30"/>
      <c r="G18" s="31"/>
      <c r="H18" s="32">
        <f t="shared" si="4"/>
        <v>0</v>
      </c>
      <c r="J18" s="47">
        <f t="shared" si="0"/>
        <v>0</v>
      </c>
      <c r="K18" s="48">
        <f>SUMIF(Data!E:E,'มหาชัย(2)'!B18,Data!F:F)*J18</f>
        <v>0</v>
      </c>
      <c r="L18" s="49">
        <f t="shared" si="1"/>
        <v>0</v>
      </c>
      <c r="M18" s="50">
        <f t="shared" si="2"/>
        <v>0</v>
      </c>
      <c r="N18" s="33" t="e">
        <f>INDEX(Data!C:C,MATCH(F14,Data!B:B,0))</f>
        <v>#N/A</v>
      </c>
      <c r="O18" s="51" t="e">
        <f t="shared" si="3"/>
        <v>#N/A</v>
      </c>
    </row>
    <row r="19" spans="1:15" ht="44.45" customHeight="1" x14ac:dyDescent="0.2">
      <c r="A19" s="36">
        <v>12</v>
      </c>
      <c r="B19" s="26" t="s">
        <v>90</v>
      </c>
      <c r="C19" s="27">
        <f>SUMIF(Data!E:E,B19,Data!F:F)</f>
        <v>60</v>
      </c>
      <c r="D19" s="28"/>
      <c r="E19" s="29" t="s">
        <v>14</v>
      </c>
      <c r="F19" s="30"/>
      <c r="G19" s="31"/>
      <c r="H19" s="32">
        <f t="shared" si="4"/>
        <v>0</v>
      </c>
      <c r="J19" s="47">
        <f t="shared" si="0"/>
        <v>0</v>
      </c>
      <c r="K19" s="48">
        <f>SUMIF(Data!E:E,'มหาชัย(2)'!B19,Data!F:F)*J19</f>
        <v>0</v>
      </c>
      <c r="L19" s="49">
        <f t="shared" si="1"/>
        <v>0</v>
      </c>
      <c r="M19" s="50">
        <f t="shared" si="2"/>
        <v>0</v>
      </c>
      <c r="N19" s="33" t="e">
        <f>INDEX(Data!C:C,MATCH(F15,Data!B:B,0))</f>
        <v>#N/A</v>
      </c>
      <c r="O19" s="51" t="e">
        <f t="shared" si="3"/>
        <v>#N/A</v>
      </c>
    </row>
    <row r="20" spans="1:15" ht="44.45" customHeight="1" x14ac:dyDescent="0.2">
      <c r="A20" s="36">
        <v>13</v>
      </c>
      <c r="B20" s="26" t="s">
        <v>91</v>
      </c>
      <c r="C20" s="27">
        <f>SUMIF(Data!E:E,B20,Data!F:F)</f>
        <v>50</v>
      </c>
      <c r="D20" s="28"/>
      <c r="E20" s="29" t="s">
        <v>14</v>
      </c>
      <c r="F20" s="30"/>
      <c r="G20" s="31"/>
      <c r="H20" s="32">
        <f t="shared" si="4"/>
        <v>0</v>
      </c>
      <c r="J20" s="47">
        <f t="shared" si="0"/>
        <v>0</v>
      </c>
      <c r="K20" s="48">
        <f>SUMIF(Data!E:E,'มหาชัย(2)'!B20,Data!F:F)*J20</f>
        <v>0</v>
      </c>
      <c r="L20" s="49">
        <f t="shared" si="1"/>
        <v>0</v>
      </c>
      <c r="M20" s="50">
        <f t="shared" si="2"/>
        <v>0</v>
      </c>
      <c r="N20" s="33" t="e">
        <f>INDEX(Data!C:C,MATCH(F16,Data!B:B,0))</f>
        <v>#N/A</v>
      </c>
      <c r="O20" s="51" t="e">
        <f t="shared" si="3"/>
        <v>#N/A</v>
      </c>
    </row>
    <row r="21" spans="1:15" ht="44.45" customHeight="1" x14ac:dyDescent="0.2">
      <c r="A21" s="36">
        <v>14</v>
      </c>
      <c r="B21" s="26" t="s">
        <v>93</v>
      </c>
      <c r="C21" s="27">
        <f>SUMIF(Data!E:E,B21,Data!F:F)</f>
        <v>60</v>
      </c>
      <c r="D21" s="28"/>
      <c r="E21" s="29" t="s">
        <v>14</v>
      </c>
      <c r="F21" s="30"/>
      <c r="G21" s="31"/>
      <c r="H21" s="32">
        <f t="shared" si="4"/>
        <v>0</v>
      </c>
      <c r="J21" s="47">
        <f t="shared" si="0"/>
        <v>0</v>
      </c>
      <c r="K21" s="48">
        <f>SUMIF(Data!E:E,'มหาชัย(2)'!B21,Data!F:F)*J21</f>
        <v>0</v>
      </c>
      <c r="L21" s="49">
        <f t="shared" si="1"/>
        <v>0</v>
      </c>
      <c r="M21" s="50">
        <f t="shared" si="2"/>
        <v>0</v>
      </c>
      <c r="N21" s="33" t="e">
        <f>INDEX(Data!C:C,MATCH(F17,Data!B:B,0))</f>
        <v>#N/A</v>
      </c>
      <c r="O21" s="51" t="e">
        <f t="shared" si="3"/>
        <v>#N/A</v>
      </c>
    </row>
    <row r="22" spans="1:15" ht="44.45" customHeight="1" x14ac:dyDescent="0.2">
      <c r="A22" s="36">
        <v>15</v>
      </c>
      <c r="B22" s="26" t="s">
        <v>94</v>
      </c>
      <c r="C22" s="27">
        <f>SUMIF(Data!E:E,B22,Data!F:F)</f>
        <v>55</v>
      </c>
      <c r="D22" s="28"/>
      <c r="E22" s="29" t="s">
        <v>14</v>
      </c>
      <c r="F22" s="30"/>
      <c r="G22" s="31"/>
      <c r="H22" s="32">
        <f t="shared" si="4"/>
        <v>0</v>
      </c>
      <c r="J22" s="47">
        <f t="shared" si="0"/>
        <v>0</v>
      </c>
      <c r="K22" s="48">
        <f>SUMIF(Data!E:E,'มหาชัย(2)'!B22,Data!F:F)*J22</f>
        <v>0</v>
      </c>
      <c r="L22" s="49">
        <f t="shared" si="1"/>
        <v>0</v>
      </c>
      <c r="M22" s="50">
        <f t="shared" si="2"/>
        <v>0</v>
      </c>
      <c r="N22" s="33" t="e">
        <f>INDEX(Data!C:C,MATCH(F18,Data!B:B,0))</f>
        <v>#N/A</v>
      </c>
      <c r="O22" s="51" t="e">
        <f t="shared" si="3"/>
        <v>#N/A</v>
      </c>
    </row>
    <row r="23" spans="1:15" ht="44.45" customHeight="1" x14ac:dyDescent="0.2">
      <c r="A23" s="36">
        <v>16</v>
      </c>
      <c r="B23" s="26" t="s">
        <v>95</v>
      </c>
      <c r="C23" s="27">
        <f>SUMIF(Data!E:E,B23,Data!F:F)</f>
        <v>50</v>
      </c>
      <c r="D23" s="28"/>
      <c r="E23" s="29" t="s">
        <v>14</v>
      </c>
      <c r="F23" s="30"/>
      <c r="G23" s="31"/>
      <c r="H23" s="32">
        <f t="shared" si="4"/>
        <v>0</v>
      </c>
      <c r="J23" s="47">
        <f t="shared" si="0"/>
        <v>0</v>
      </c>
      <c r="K23" s="48">
        <f>SUMIF(Data!E:E,'มหาชัย(2)'!B23,Data!F:F)*J23</f>
        <v>0</v>
      </c>
      <c r="L23" s="49">
        <f t="shared" si="1"/>
        <v>0</v>
      </c>
      <c r="M23" s="50">
        <f t="shared" si="2"/>
        <v>0</v>
      </c>
      <c r="N23" s="33" t="e">
        <f>INDEX(Data!C:C,MATCH(F19,Data!B:B,0))</f>
        <v>#N/A</v>
      </c>
      <c r="O23" s="51" t="e">
        <f t="shared" si="3"/>
        <v>#N/A</v>
      </c>
    </row>
    <row r="24" spans="1:15" ht="44.45" customHeight="1" x14ac:dyDescent="0.2">
      <c r="A24" s="36">
        <v>17</v>
      </c>
      <c r="B24" s="26" t="s">
        <v>98</v>
      </c>
      <c r="C24" s="27">
        <f>SUMIF(Data!E:E,B24,Data!F:F)</f>
        <v>55</v>
      </c>
      <c r="D24" s="28"/>
      <c r="E24" s="29" t="s">
        <v>14</v>
      </c>
      <c r="F24" s="30"/>
      <c r="G24" s="31"/>
      <c r="H24" s="32">
        <f t="shared" si="4"/>
        <v>0</v>
      </c>
      <c r="J24" s="47">
        <f t="shared" si="0"/>
        <v>0</v>
      </c>
      <c r="K24" s="48">
        <f>SUMIF(Data!E:E,'มหาชัย(2)'!B24,Data!F:F)*J24</f>
        <v>0</v>
      </c>
      <c r="L24" s="49">
        <f t="shared" si="1"/>
        <v>0</v>
      </c>
      <c r="M24" s="50">
        <f t="shared" si="2"/>
        <v>0</v>
      </c>
      <c r="N24" s="33" t="e">
        <f>INDEX(Data!C:C,MATCH(F20,Data!B:B,0))</f>
        <v>#N/A</v>
      </c>
      <c r="O24" s="51" t="e">
        <f t="shared" si="3"/>
        <v>#N/A</v>
      </c>
    </row>
    <row r="25" spans="1:15" ht="44.45" customHeight="1" x14ac:dyDescent="0.2">
      <c r="A25" s="36">
        <v>18</v>
      </c>
      <c r="B25" s="26" t="s">
        <v>99</v>
      </c>
      <c r="C25" s="27">
        <f>SUMIF(Data!E:E,B25,Data!F:F)</f>
        <v>55</v>
      </c>
      <c r="D25" s="28"/>
      <c r="E25" s="29" t="s">
        <v>14</v>
      </c>
      <c r="F25" s="30"/>
      <c r="G25" s="31"/>
      <c r="H25" s="32">
        <f t="shared" si="4"/>
        <v>0</v>
      </c>
      <c r="J25" s="47">
        <f t="shared" si="0"/>
        <v>0</v>
      </c>
      <c r="K25" s="48">
        <f>SUMIF(Data!E:E,'มหาชัย(2)'!B25,Data!F:F)*J25</f>
        <v>0</v>
      </c>
      <c r="L25" s="49">
        <f t="shared" si="1"/>
        <v>0</v>
      </c>
      <c r="M25" s="50">
        <f t="shared" si="2"/>
        <v>0</v>
      </c>
      <c r="N25" s="33" t="e">
        <f>INDEX(Data!C:C,MATCH(F21,Data!B:B,0))</f>
        <v>#N/A</v>
      </c>
      <c r="O25" s="51" t="e">
        <f t="shared" si="3"/>
        <v>#N/A</v>
      </c>
    </row>
    <row r="26" spans="1:15" ht="44.45" customHeight="1" x14ac:dyDescent="0.2">
      <c r="A26" s="36">
        <v>19</v>
      </c>
      <c r="B26" s="26" t="s">
        <v>100</v>
      </c>
      <c r="C26" s="27">
        <f>SUMIF(Data!E:E,B26,Data!F:F)</f>
        <v>81</v>
      </c>
      <c r="D26" s="28"/>
      <c r="E26" s="29" t="s">
        <v>14</v>
      </c>
      <c r="F26" s="30"/>
      <c r="G26" s="31"/>
      <c r="H26" s="32">
        <f t="shared" si="4"/>
        <v>0</v>
      </c>
      <c r="J26" s="47">
        <f t="shared" si="0"/>
        <v>0</v>
      </c>
      <c r="K26" s="48">
        <f>SUMIF(Data!E:E,'มหาชัย(2)'!B26,Data!F:F)*J26</f>
        <v>0</v>
      </c>
      <c r="L26" s="49">
        <f t="shared" si="1"/>
        <v>0</v>
      </c>
      <c r="M26" s="50">
        <f t="shared" si="2"/>
        <v>0</v>
      </c>
      <c r="N26" s="33" t="e">
        <f>INDEX(Data!C:C,MATCH(F22,Data!B:B,0))</f>
        <v>#N/A</v>
      </c>
      <c r="O26" s="51" t="e">
        <f t="shared" si="3"/>
        <v>#N/A</v>
      </c>
    </row>
    <row r="27" spans="1:15" ht="54.6" customHeight="1" x14ac:dyDescent="0.2">
      <c r="A27" s="60" t="s">
        <v>5</v>
      </c>
      <c r="B27" s="60"/>
      <c r="C27" s="40"/>
      <c r="D27" s="41"/>
      <c r="E27" s="42"/>
      <c r="F27" s="42"/>
      <c r="G27" s="42"/>
      <c r="H27" s="1"/>
      <c r="J27" s="14" t="s">
        <v>39</v>
      </c>
      <c r="K27" s="14" t="s">
        <v>41</v>
      </c>
      <c r="L27" s="14" t="s">
        <v>57</v>
      </c>
    </row>
    <row r="28" spans="1:15" ht="20.100000000000001" customHeight="1" x14ac:dyDescent="0.2">
      <c r="J28" s="13">
        <f>SUM($J$8:$J$26)</f>
        <v>0</v>
      </c>
      <c r="K28" s="13">
        <f>SUM($L$8:$L$26)</f>
        <v>0</v>
      </c>
      <c r="L28" s="13">
        <f>SUM(J28:K28)</f>
        <v>0</v>
      </c>
    </row>
    <row r="29" spans="1:15" ht="20.100000000000001" customHeight="1" x14ac:dyDescent="0.2">
      <c r="L29" s="52"/>
    </row>
    <row r="30" spans="1:15" ht="61.5" customHeight="1" x14ac:dyDescent="0.25">
      <c r="A30" s="8"/>
      <c r="B30" s="9" t="s">
        <v>29</v>
      </c>
      <c r="C30" s="9"/>
      <c r="G30" s="8" t="s">
        <v>31</v>
      </c>
      <c r="K30" s="11"/>
      <c r="L30" s="8"/>
      <c r="N30" s="8"/>
      <c r="O30" s="8"/>
    </row>
    <row r="31" spans="1:15" ht="61.5" customHeight="1" x14ac:dyDescent="0.25">
      <c r="A31" s="8"/>
      <c r="B31" s="8" t="s">
        <v>28</v>
      </c>
      <c r="C31" s="8"/>
      <c r="F31" s="8"/>
      <c r="G31" s="8" t="s">
        <v>32</v>
      </c>
      <c r="H31" s="8"/>
      <c r="K31" s="11"/>
      <c r="L31" s="8"/>
      <c r="N31" s="8"/>
      <c r="O31" s="8"/>
    </row>
    <row r="32" spans="1:15" ht="61.5" customHeight="1" x14ac:dyDescent="0.25">
      <c r="A32" s="8"/>
      <c r="B32" s="8" t="s">
        <v>30</v>
      </c>
      <c r="C32" s="8"/>
      <c r="F32" s="8"/>
      <c r="G32" s="8" t="s">
        <v>33</v>
      </c>
      <c r="H32" s="9"/>
      <c r="J32" s="11"/>
      <c r="L32" s="9"/>
      <c r="N32" s="9"/>
      <c r="O32" s="9"/>
    </row>
    <row r="33" ht="20.100000000000001" customHeight="1" x14ac:dyDescent="0.2"/>
    <row r="34" ht="20.100000000000001" customHeight="1" x14ac:dyDescent="0.2"/>
    <row r="35" ht="20.100000000000001" customHeight="1" x14ac:dyDescent="0.2"/>
    <row r="36" ht="20.100000000000001" customHeight="1" x14ac:dyDescent="0.2"/>
    <row r="37" ht="20.100000000000001" customHeight="1" x14ac:dyDescent="0.2"/>
    <row r="38" ht="20.100000000000001" customHeight="1" x14ac:dyDescent="0.2"/>
    <row r="39" ht="20.100000000000001" customHeight="1" x14ac:dyDescent="0.2"/>
    <row r="40" ht="20.100000000000001" customHeight="1" x14ac:dyDescent="0.2"/>
    <row r="41" ht="20.100000000000001" customHeight="1" x14ac:dyDescent="0.2"/>
  </sheetData>
  <mergeCells count="13">
    <mergeCell ref="A1:F2"/>
    <mergeCell ref="A3:H3"/>
    <mergeCell ref="D4:E4"/>
    <mergeCell ref="F4:H4"/>
    <mergeCell ref="A5:A6"/>
    <mergeCell ref="B5:B6"/>
    <mergeCell ref="D5:E5"/>
    <mergeCell ref="F5:H6"/>
    <mergeCell ref="J5:M5"/>
    <mergeCell ref="D6:E6"/>
    <mergeCell ref="J6:K6"/>
    <mergeCell ref="L6:M6"/>
    <mergeCell ref="A27:B27"/>
  </mergeCells>
  <conditionalFormatting sqref="H8:H26">
    <cfRule type="cellIs" dxfId="11" priority="1" operator="lessThan">
      <formula>-1</formula>
    </cfRule>
    <cfRule type="cellIs" dxfId="10" priority="2" operator="equal">
      <formula>"-"</formula>
    </cfRule>
  </conditionalFormatting>
  <conditionalFormatting sqref="J8:O26">
    <cfRule type="containsErrors" dxfId="9" priority="8">
      <formula>ISERROR(J8)</formula>
    </cfRule>
  </conditionalFormatting>
  <conditionalFormatting sqref="O8:O26">
    <cfRule type="cellIs" dxfId="8" priority="3" operator="lessThan">
      <formula>0</formula>
    </cfRule>
    <cfRule type="cellIs" dxfId="7" priority="4" operator="greaterThan">
      <formula>15</formula>
    </cfRule>
    <cfRule type="cellIs" dxfId="6" priority="5" operator="lessThan">
      <formula>16</formula>
    </cfRule>
  </conditionalFormatting>
  <pageMargins left="0.7" right="0.7" top="0.75" bottom="0.75" header="0.3" footer="0.3"/>
  <pageSetup paperSize="9" scale="38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8CD11F3-943E-43E4-B24A-C11A178441CE}">
          <x14:formula1>
            <xm:f>Data!$B$2:$B$22</xm:f>
          </x14:formula1>
          <xm:sqref>F4</xm:sqref>
        </x14:dataValidation>
        <x14:dataValidation type="list" allowBlank="1" showInputMessage="1" showErrorMessage="1" xr:uid="{0B6E2AE7-0214-4649-AD2A-85E8D86D9CAF}">
          <x14:formula1>
            <xm:f>Data!$G$2:$G$6</xm:f>
          </x14:formula1>
          <xm:sqref>E8:E26</xm:sqref>
        </x14:dataValidation>
        <x14:dataValidation type="list" allowBlank="1" showInputMessage="1" showErrorMessage="1" xr:uid="{7A56B303-26CB-4E73-A62D-145E4C166CD6}">
          <x14:formula1>
            <xm:f>Data!$E$2:$E$37</xm:f>
          </x14:formula1>
          <xm:sqref>B8:B26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F3952-8C82-40A7-9CD7-0C96C07569FA}">
  <sheetPr>
    <tabColor rgb="FF92D050"/>
    <pageSetUpPr fitToPage="1"/>
  </sheetPr>
  <dimension ref="A1:X41"/>
  <sheetViews>
    <sheetView topLeftCell="A6" zoomScale="55" zoomScaleNormal="55" zoomScaleSheetLayoutView="50" workbookViewId="0">
      <selection activeCell="J29" sqref="J29"/>
    </sheetView>
  </sheetViews>
  <sheetFormatPr defaultRowHeight="18" x14ac:dyDescent="0.2"/>
  <cols>
    <col min="2" max="2" width="70" customWidth="1"/>
    <col min="3" max="3" width="9.375" customWidth="1"/>
    <col min="4" max="4" width="19.625" customWidth="1"/>
    <col min="5" max="5" width="10.375" customWidth="1"/>
    <col min="6" max="7" width="22.125" customWidth="1"/>
    <col min="8" max="8" width="20.875" customWidth="1"/>
    <col min="9" max="9" width="1.875" customWidth="1"/>
    <col min="10" max="13" width="13.875" customWidth="1"/>
    <col min="14" max="14" width="8.75" customWidth="1"/>
    <col min="15" max="15" width="18.125" customWidth="1"/>
    <col min="17" max="17" width="58" style="16" customWidth="1"/>
    <col min="18" max="18" width="19" style="16" customWidth="1"/>
    <col min="20" max="20" width="58" customWidth="1"/>
    <col min="21" max="21" width="19" customWidth="1"/>
    <col min="23" max="23" width="58" customWidth="1"/>
    <col min="24" max="24" width="19" customWidth="1"/>
  </cols>
  <sheetData>
    <row r="1" spans="1:24" ht="39.6" customHeight="1" x14ac:dyDescent="0.2">
      <c r="A1" s="61" t="s">
        <v>19</v>
      </c>
      <c r="B1" s="61"/>
      <c r="C1" s="61"/>
      <c r="D1" s="61"/>
      <c r="E1" s="61"/>
      <c r="F1" s="61"/>
      <c r="G1" s="6" t="s">
        <v>17</v>
      </c>
      <c r="H1" s="5" t="s">
        <v>58</v>
      </c>
    </row>
    <row r="2" spans="1:24" ht="40.5" customHeight="1" thickBot="1" x14ac:dyDescent="0.25">
      <c r="A2" s="62"/>
      <c r="B2" s="62"/>
      <c r="C2" s="62"/>
      <c r="D2" s="62"/>
      <c r="E2" s="62"/>
      <c r="F2" s="62"/>
      <c r="G2" s="6" t="s">
        <v>27</v>
      </c>
      <c r="H2" s="15"/>
    </row>
    <row r="3" spans="1:24" ht="48.6" customHeight="1" x14ac:dyDescent="0.2">
      <c r="A3" s="63" t="s">
        <v>1</v>
      </c>
      <c r="B3" s="64"/>
      <c r="C3" s="64"/>
      <c r="D3" s="64"/>
      <c r="E3" s="64"/>
      <c r="F3" s="64"/>
      <c r="G3" s="64"/>
      <c r="H3" s="65"/>
    </row>
    <row r="4" spans="1:24" ht="54.95" customHeight="1" x14ac:dyDescent="0.2">
      <c r="A4" s="33" t="s">
        <v>0</v>
      </c>
      <c r="B4" s="34" t="s">
        <v>21</v>
      </c>
      <c r="C4" s="35"/>
      <c r="D4" s="66" t="s">
        <v>6</v>
      </c>
      <c r="E4" s="66"/>
      <c r="F4" s="57" t="s">
        <v>49</v>
      </c>
      <c r="G4" s="57"/>
      <c r="H4" s="57"/>
    </row>
    <row r="5" spans="1:24" ht="30.95" customHeight="1" x14ac:dyDescent="0.2">
      <c r="A5" s="55" t="s">
        <v>2</v>
      </c>
      <c r="B5" s="67"/>
      <c r="C5" s="37"/>
      <c r="D5" s="55" t="s">
        <v>18</v>
      </c>
      <c r="E5" s="55"/>
      <c r="F5" s="68"/>
      <c r="G5" s="68"/>
      <c r="H5" s="68"/>
      <c r="J5" s="55" t="s">
        <v>38</v>
      </c>
      <c r="K5" s="55"/>
      <c r="L5" s="55"/>
      <c r="M5" s="55"/>
    </row>
    <row r="6" spans="1:24" ht="30.6" customHeight="1" thickBot="1" x14ac:dyDescent="0.25">
      <c r="A6" s="55"/>
      <c r="B6" s="67"/>
      <c r="C6" s="37"/>
      <c r="D6" s="56"/>
      <c r="E6" s="57"/>
      <c r="F6" s="68"/>
      <c r="G6" s="68"/>
      <c r="H6" s="68"/>
      <c r="J6" s="58" t="s">
        <v>39</v>
      </c>
      <c r="K6" s="58"/>
      <c r="L6" s="59" t="s">
        <v>41</v>
      </c>
      <c r="M6" s="59"/>
    </row>
    <row r="7" spans="1:24" s="7" customFormat="1" ht="36.6" customHeight="1" x14ac:dyDescent="0.25">
      <c r="A7" s="38" t="s">
        <v>3</v>
      </c>
      <c r="B7" s="38" t="s">
        <v>4</v>
      </c>
      <c r="C7" s="38" t="s">
        <v>42</v>
      </c>
      <c r="D7" s="38" t="s">
        <v>11</v>
      </c>
      <c r="E7" s="38" t="s">
        <v>12</v>
      </c>
      <c r="F7" s="38" t="s">
        <v>9</v>
      </c>
      <c r="G7" s="38" t="s">
        <v>10</v>
      </c>
      <c r="H7" s="39" t="s">
        <v>24</v>
      </c>
      <c r="J7" s="43" t="s">
        <v>40</v>
      </c>
      <c r="K7" s="44" t="s">
        <v>14</v>
      </c>
      <c r="L7" s="45" t="s">
        <v>40</v>
      </c>
      <c r="M7" s="46" t="s">
        <v>14</v>
      </c>
      <c r="N7" s="42" t="s">
        <v>25</v>
      </c>
      <c r="O7" s="42" t="s">
        <v>26</v>
      </c>
      <c r="Q7" s="17" t="s">
        <v>62</v>
      </c>
      <c r="R7" s="18" t="s">
        <v>63</v>
      </c>
      <c r="T7" s="17" t="s">
        <v>62</v>
      </c>
      <c r="U7" s="18" t="s">
        <v>63</v>
      </c>
      <c r="W7" s="17" t="s">
        <v>62</v>
      </c>
      <c r="X7" s="18" t="s">
        <v>63</v>
      </c>
    </row>
    <row r="8" spans="1:24" ht="44.45" customHeight="1" x14ac:dyDescent="0.2">
      <c r="A8" s="36">
        <v>1</v>
      </c>
      <c r="B8" s="26" t="s">
        <v>77</v>
      </c>
      <c r="C8" s="27">
        <f>SUMIF(Data!E:E,B8,Data!F:F)</f>
        <v>42</v>
      </c>
      <c r="D8" s="28"/>
      <c r="E8" s="29" t="s">
        <v>14</v>
      </c>
      <c r="F8" s="30"/>
      <c r="G8" s="31"/>
      <c r="H8" s="32">
        <f>+G8-$D$6</f>
        <v>0</v>
      </c>
      <c r="J8" s="47">
        <f t="shared" ref="J8:J26" si="0">ROUNDDOWN((D8/C8),0)</f>
        <v>0</v>
      </c>
      <c r="K8" s="48">
        <f>SUMIF(Data!E:E,'มหาชัย(1)'!B8,Data!F:F)*J8</f>
        <v>0</v>
      </c>
      <c r="L8" s="49">
        <f t="shared" ref="L8:L26" si="1">ROUNDUP((M8/C8),0)</f>
        <v>0</v>
      </c>
      <c r="M8" s="50">
        <f t="shared" ref="M8:M26" si="2">D8-K8</f>
        <v>0</v>
      </c>
      <c r="N8" s="33">
        <f>INDEX(Data!C:C,MATCH(F4,Data!B:B,0))</f>
        <v>60</v>
      </c>
      <c r="O8" s="51">
        <f t="shared" ref="O8:O26" si="3">H8-N8</f>
        <v>-60</v>
      </c>
      <c r="Q8" s="54" t="str">
        <f>$B$8</f>
        <v>NEWยูมิยูมิ มิลค์เค้ก 55กรัม</v>
      </c>
      <c r="R8" s="23">
        <f>SUM('นครสวรรค์(2):มหาชัย(1)'!D8)</f>
        <v>0</v>
      </c>
      <c r="T8" s="54" t="str">
        <f>$B$8</f>
        <v>NEWยูมิยูมิ มิลค์เค้ก 55กรัม</v>
      </c>
      <c r="U8" s="23">
        <f>SUM('หาดใหญ่(1):มหาชัย(1)'!D8)</f>
        <v>0</v>
      </c>
      <c r="W8" s="54" t="str">
        <f>$B$8</f>
        <v>NEWยูมิยูมิ มิลค์เค้ก 55กรัม</v>
      </c>
      <c r="X8" s="23">
        <f>+R8-U8</f>
        <v>0</v>
      </c>
    </row>
    <row r="9" spans="1:24" ht="44.45" customHeight="1" x14ac:dyDescent="0.2">
      <c r="A9" s="36">
        <v>2</v>
      </c>
      <c r="B9" s="26" t="s">
        <v>66</v>
      </c>
      <c r="C9" s="27">
        <f>SUMIF(Data!E:E,B9,Data!F:F)</f>
        <v>36</v>
      </c>
      <c r="D9" s="28"/>
      <c r="E9" s="29" t="s">
        <v>14</v>
      </c>
      <c r="F9" s="30"/>
      <c r="G9" s="31"/>
      <c r="H9" s="32">
        <f t="shared" ref="H9:H26" si="4">+G9-$D$6</f>
        <v>0</v>
      </c>
      <c r="J9" s="47">
        <f t="shared" si="0"/>
        <v>0</v>
      </c>
      <c r="K9" s="48">
        <f>SUMIF(Data!E:E,'มหาชัย(1)'!B9,Data!F:F)*J9</f>
        <v>0</v>
      </c>
      <c r="L9" s="49">
        <f t="shared" si="1"/>
        <v>0</v>
      </c>
      <c r="M9" s="50">
        <f t="shared" si="2"/>
        <v>0</v>
      </c>
      <c r="N9" s="33" t="e">
        <f>INDEX(Data!C:C,MATCH(F5,Data!B:B,0))</f>
        <v>#N/A</v>
      </c>
      <c r="O9" s="51" t="e">
        <f t="shared" si="3"/>
        <v>#N/A</v>
      </c>
      <c r="Q9" s="54" t="str">
        <f>$B$9</f>
        <v>ใหม่ !! ยูมิยูมิ เค้กไข่ชีส 78กรัม</v>
      </c>
      <c r="R9" s="23">
        <f>SUM('นครสวรรค์(2):มหาชัย(1)'!D9)</f>
        <v>0</v>
      </c>
      <c r="T9" s="54" t="str">
        <f>$B$9</f>
        <v>ใหม่ !! ยูมิยูมิ เค้กไข่ชีส 78กรัม</v>
      </c>
      <c r="U9" s="23">
        <f>SUM('หาดใหญ่(1):มหาชัย(1)'!D9)</f>
        <v>0</v>
      </c>
      <c r="W9" s="54" t="str">
        <f>$B$9</f>
        <v>ใหม่ !! ยูมิยูมิ เค้กไข่ชีส 78กรัม</v>
      </c>
      <c r="X9" s="23">
        <f t="shared" ref="X9:X26" si="5">+R9-U9</f>
        <v>0</v>
      </c>
    </row>
    <row r="10" spans="1:24" ht="44.45" customHeight="1" x14ac:dyDescent="0.2">
      <c r="A10" s="36">
        <v>3</v>
      </c>
      <c r="B10" s="26" t="s">
        <v>79</v>
      </c>
      <c r="C10" s="27">
        <f>SUMIF(Data!E:E,B10,Data!F:F)</f>
        <v>42</v>
      </c>
      <c r="D10" s="28"/>
      <c r="E10" s="29" t="s">
        <v>14</v>
      </c>
      <c r="F10" s="30"/>
      <c r="G10" s="31"/>
      <c r="H10" s="32">
        <f t="shared" si="4"/>
        <v>0</v>
      </c>
      <c r="J10" s="47">
        <f t="shared" si="0"/>
        <v>0</v>
      </c>
      <c r="K10" s="48">
        <f>SUMIF(Data!E:E,'มหาชัย(1)'!B10,Data!F:F)*J10</f>
        <v>0</v>
      </c>
      <c r="L10" s="49">
        <f t="shared" si="1"/>
        <v>0</v>
      </c>
      <c r="M10" s="50">
        <f t="shared" si="2"/>
        <v>0</v>
      </c>
      <c r="N10" s="33" t="e">
        <f>INDEX(Data!C:C,MATCH(F6,Data!B:B,0))</f>
        <v>#N/A</v>
      </c>
      <c r="O10" s="51" t="e">
        <f t="shared" si="3"/>
        <v>#N/A</v>
      </c>
      <c r="Q10" s="54" t="str">
        <f>$B$10</f>
        <v>ยูมิยูมิ เค้กอัลมอนด์ 75กรัม</v>
      </c>
      <c r="R10" s="23">
        <f>SUM('นครสวรรค์(2):มหาชัย(1)'!D10)</f>
        <v>0</v>
      </c>
      <c r="T10" s="54" t="str">
        <f>$B$10</f>
        <v>ยูมิยูมิ เค้กอัลมอนด์ 75กรัม</v>
      </c>
      <c r="U10" s="23">
        <f>SUM('หาดใหญ่(1):มหาชัย(1)'!D10)</f>
        <v>0</v>
      </c>
      <c r="W10" s="54" t="str">
        <f>$B$10</f>
        <v>ยูมิยูมิ เค้กอัลมอนด์ 75กรัม</v>
      </c>
      <c r="X10" s="23">
        <f t="shared" si="5"/>
        <v>0</v>
      </c>
    </row>
    <row r="11" spans="1:24" ht="44.45" customHeight="1" x14ac:dyDescent="0.2">
      <c r="A11" s="36">
        <v>4</v>
      </c>
      <c r="B11" s="26" t="s">
        <v>80</v>
      </c>
      <c r="C11" s="27">
        <f>SUMIF(Data!E:E,B11,Data!F:F)</f>
        <v>50</v>
      </c>
      <c r="D11" s="28"/>
      <c r="E11" s="29" t="s">
        <v>14</v>
      </c>
      <c r="F11" s="30"/>
      <c r="G11" s="31"/>
      <c r="H11" s="32">
        <f t="shared" si="4"/>
        <v>0</v>
      </c>
      <c r="J11" s="47">
        <f t="shared" si="0"/>
        <v>0</v>
      </c>
      <c r="K11" s="48">
        <f>SUMIF(Data!E:E,'มหาชัย(1)'!B11,Data!F:F)*J11</f>
        <v>0</v>
      </c>
      <c r="L11" s="49">
        <f t="shared" si="1"/>
        <v>0</v>
      </c>
      <c r="M11" s="50">
        <f t="shared" si="2"/>
        <v>0</v>
      </c>
      <c r="N11" s="33" t="e">
        <f>INDEX(Data!C:C,MATCH(F7,Data!B:B,0))</f>
        <v>#N/A</v>
      </c>
      <c r="O11" s="51" t="e">
        <f t="shared" si="3"/>
        <v>#N/A</v>
      </c>
      <c r="Q11" s="54" t="str">
        <f>$B$11</f>
        <v>ยูมิยูมิ โรลช็อกโกแลตเค้ก 55กรัม</v>
      </c>
      <c r="R11" s="23">
        <f>SUM('นครสวรรค์(2):มหาชัย(1)'!D11)</f>
        <v>0</v>
      </c>
      <c r="T11" s="54" t="str">
        <f>$B$11</f>
        <v>ยูมิยูมิ โรลช็อกโกแลตเค้ก 55กรัม</v>
      </c>
      <c r="U11" s="23">
        <f>SUM('หาดใหญ่(1):มหาชัย(1)'!D11)</f>
        <v>0</v>
      </c>
      <c r="W11" s="54" t="str">
        <f>$B$11</f>
        <v>ยูมิยูมิ โรลช็อกโกแลตเค้ก 55กรัม</v>
      </c>
      <c r="X11" s="23">
        <f t="shared" si="5"/>
        <v>0</v>
      </c>
    </row>
    <row r="12" spans="1:24" ht="44.45" customHeight="1" x14ac:dyDescent="0.2">
      <c r="A12" s="36">
        <v>5</v>
      </c>
      <c r="B12" s="26" t="s">
        <v>71</v>
      </c>
      <c r="C12" s="27">
        <f>SUMIF(Data!E:E,B12,Data!F:F)</f>
        <v>81</v>
      </c>
      <c r="D12" s="28"/>
      <c r="E12" s="29" t="s">
        <v>14</v>
      </c>
      <c r="F12" s="30"/>
      <c r="G12" s="31"/>
      <c r="H12" s="32">
        <f t="shared" si="4"/>
        <v>0</v>
      </c>
      <c r="J12" s="47">
        <f t="shared" si="0"/>
        <v>0</v>
      </c>
      <c r="K12" s="48">
        <f>SUMIF(Data!E:E,'มหาชัย(1)'!B12,Data!F:F)*J12</f>
        <v>0</v>
      </c>
      <c r="L12" s="49">
        <f t="shared" si="1"/>
        <v>0</v>
      </c>
      <c r="M12" s="50">
        <f t="shared" si="2"/>
        <v>0</v>
      </c>
      <c r="N12" s="33" t="e">
        <f>INDEX(Data!C:C,MATCH(F8,Data!B:B,0))</f>
        <v>#N/A</v>
      </c>
      <c r="O12" s="51" t="e">
        <f t="shared" si="3"/>
        <v>#N/A</v>
      </c>
      <c r="Q12" s="54" t="str">
        <f>$B$12</f>
        <v>ยูมิยูมิ มินิครีมเค้ก 40กรัม</v>
      </c>
      <c r="R12" s="23">
        <f>SUM('นครสวรรค์(2):มหาชัย(1)'!D12)</f>
        <v>0</v>
      </c>
      <c r="T12" s="54" t="str">
        <f>$B$12</f>
        <v>ยูมิยูมิ มินิครีมเค้ก 40กรัม</v>
      </c>
      <c r="U12" s="23">
        <f>SUM('หาดใหญ่(1):มหาชัย(1)'!D12)</f>
        <v>0</v>
      </c>
      <c r="W12" s="54" t="str">
        <f>$B$12</f>
        <v>ยูมิยูมิ มินิครีมเค้ก 40กรัม</v>
      </c>
      <c r="X12" s="23">
        <f t="shared" si="5"/>
        <v>0</v>
      </c>
    </row>
    <row r="13" spans="1:24" ht="44.45" customHeight="1" x14ac:dyDescent="0.2">
      <c r="A13" s="36">
        <v>6</v>
      </c>
      <c r="B13" s="26" t="s">
        <v>84</v>
      </c>
      <c r="C13" s="27">
        <f>SUMIF(Data!E:E,B13,Data!F:F)</f>
        <v>42</v>
      </c>
      <c r="D13" s="28"/>
      <c r="E13" s="29" t="s">
        <v>14</v>
      </c>
      <c r="F13" s="30"/>
      <c r="G13" s="31"/>
      <c r="H13" s="32">
        <f t="shared" si="4"/>
        <v>0</v>
      </c>
      <c r="J13" s="47">
        <f t="shared" si="0"/>
        <v>0</v>
      </c>
      <c r="K13" s="48">
        <f>SUMIF(Data!E:E,'มหาชัย(1)'!B13,Data!F:F)*J13</f>
        <v>0</v>
      </c>
      <c r="L13" s="49">
        <f t="shared" si="1"/>
        <v>0</v>
      </c>
      <c r="M13" s="50">
        <f t="shared" si="2"/>
        <v>0</v>
      </c>
      <c r="N13" s="33" t="e">
        <f>INDEX(Data!C:C,MATCH(F9,Data!B:B,0))</f>
        <v>#N/A</v>
      </c>
      <c r="O13" s="51" t="e">
        <f t="shared" si="3"/>
        <v>#N/A</v>
      </c>
      <c r="Q13" s="54" t="str">
        <f>$B$13</f>
        <v>ยูมิยูมิ เค้กครีมสลัดไก่หยอง 75กรัม</v>
      </c>
      <c r="R13" s="23">
        <f>SUM('นครสวรรค์(2):มหาชัย(1)'!D13)</f>
        <v>0</v>
      </c>
      <c r="T13" s="54" t="str">
        <f>$B$13</f>
        <v>ยูมิยูมิ เค้กครีมสลัดไก่หยอง 75กรัม</v>
      </c>
      <c r="U13" s="23">
        <f>SUM('หาดใหญ่(1):มหาชัย(1)'!D13)</f>
        <v>0</v>
      </c>
      <c r="W13" s="54" t="str">
        <f>$B$13</f>
        <v>ยูมิยูมิ เค้กครีมสลัดไก่หยอง 75กรัม</v>
      </c>
      <c r="X13" s="23">
        <f t="shared" si="5"/>
        <v>0</v>
      </c>
    </row>
    <row r="14" spans="1:24" ht="44.45" customHeight="1" x14ac:dyDescent="0.2">
      <c r="A14" s="36">
        <v>7</v>
      </c>
      <c r="B14" s="26" t="s">
        <v>85</v>
      </c>
      <c r="C14" s="27">
        <f>SUMIF(Data!E:E,B14,Data!F:F)</f>
        <v>32</v>
      </c>
      <c r="D14" s="28"/>
      <c r="E14" s="29" t="s">
        <v>14</v>
      </c>
      <c r="F14" s="30"/>
      <c r="G14" s="31"/>
      <c r="H14" s="32">
        <f t="shared" si="4"/>
        <v>0</v>
      </c>
      <c r="J14" s="47">
        <f t="shared" si="0"/>
        <v>0</v>
      </c>
      <c r="K14" s="48">
        <f>SUMIF(Data!E:E,'มหาชัย(1)'!B14,Data!F:F)*J14</f>
        <v>0</v>
      </c>
      <c r="L14" s="49">
        <f t="shared" si="1"/>
        <v>0</v>
      </c>
      <c r="M14" s="50">
        <f t="shared" si="2"/>
        <v>0</v>
      </c>
      <c r="N14" s="33" t="e">
        <f>INDEX(Data!C:C,MATCH(F10,Data!B:B,0))</f>
        <v>#N/A</v>
      </c>
      <c r="O14" s="51" t="e">
        <f t="shared" si="3"/>
        <v>#N/A</v>
      </c>
      <c r="Q14" s="54" t="str">
        <f>$B$14</f>
        <v>ยูมิยูมิ ชิสึเค้ก 70กรัม</v>
      </c>
      <c r="R14" s="23">
        <f>SUM('นครสวรรค์(2):มหาชัย(1)'!D14)</f>
        <v>0</v>
      </c>
      <c r="T14" s="54" t="str">
        <f>$B$14</f>
        <v>ยูมิยูมิ ชิสึเค้ก 70กรัม</v>
      </c>
      <c r="U14" s="23">
        <f>SUM('หาดใหญ่(1):มหาชัย(1)'!D14)</f>
        <v>0</v>
      </c>
      <c r="W14" s="54" t="str">
        <f>$B$14</f>
        <v>ยูมิยูมิ ชิสึเค้ก 70กรัม</v>
      </c>
      <c r="X14" s="23">
        <f t="shared" si="5"/>
        <v>0</v>
      </c>
    </row>
    <row r="15" spans="1:24" ht="44.45" customHeight="1" x14ac:dyDescent="0.2">
      <c r="A15" s="36">
        <v>8</v>
      </c>
      <c r="B15" s="26" t="s">
        <v>76</v>
      </c>
      <c r="C15" s="27">
        <f>SUMIF(Data!E:E,B15,Data!F:F)</f>
        <v>70</v>
      </c>
      <c r="D15" s="28"/>
      <c r="E15" s="29" t="s">
        <v>14</v>
      </c>
      <c r="F15" s="30"/>
      <c r="G15" s="31"/>
      <c r="H15" s="32">
        <f t="shared" si="4"/>
        <v>0</v>
      </c>
      <c r="J15" s="47">
        <f t="shared" si="0"/>
        <v>0</v>
      </c>
      <c r="K15" s="48">
        <f>SUMIF(Data!E:E,'มหาชัย(1)'!B15,Data!F:F)*J15</f>
        <v>0</v>
      </c>
      <c r="L15" s="49">
        <f t="shared" si="1"/>
        <v>0</v>
      </c>
      <c r="M15" s="50">
        <f t="shared" si="2"/>
        <v>0</v>
      </c>
      <c r="N15" s="33" t="e">
        <f>INDEX(Data!C:C,MATCH(F11,Data!B:B,0))</f>
        <v>#N/A</v>
      </c>
      <c r="O15" s="51" t="e">
        <f t="shared" si="3"/>
        <v>#N/A</v>
      </c>
      <c r="Q15" s="54" t="str">
        <f>$B$15</f>
        <v>ยูมิยูมิ บลูเบอร์รี่เค้ก 52กรัม</v>
      </c>
      <c r="R15" s="23">
        <f>SUM('นครสวรรค์(2):มหาชัย(1)'!D15)</f>
        <v>0</v>
      </c>
      <c r="T15" s="54" t="str">
        <f>$B$15</f>
        <v>ยูมิยูมิ บลูเบอร์รี่เค้ก 52กรัม</v>
      </c>
      <c r="U15" s="23">
        <f>SUM('หาดใหญ่(1):มหาชัย(1)'!D15)</f>
        <v>0</v>
      </c>
      <c r="W15" s="54" t="str">
        <f>$B$15</f>
        <v>ยูมิยูมิ บลูเบอร์รี่เค้ก 52กรัม</v>
      </c>
      <c r="X15" s="23">
        <f t="shared" si="5"/>
        <v>0</v>
      </c>
    </row>
    <row r="16" spans="1:24" ht="44.45" customHeight="1" x14ac:dyDescent="0.2">
      <c r="A16" s="36">
        <v>9</v>
      </c>
      <c r="B16" s="26" t="s">
        <v>89</v>
      </c>
      <c r="C16" s="27">
        <f>SUMIF(Data!E:E,B16,Data!F:F)</f>
        <v>45</v>
      </c>
      <c r="D16" s="28"/>
      <c r="E16" s="29" t="s">
        <v>14</v>
      </c>
      <c r="F16" s="30"/>
      <c r="G16" s="31"/>
      <c r="H16" s="32">
        <f t="shared" si="4"/>
        <v>0</v>
      </c>
      <c r="J16" s="47">
        <f t="shared" si="0"/>
        <v>0</v>
      </c>
      <c r="K16" s="48">
        <f>SUMIF(Data!E:E,'มหาชัย(1)'!B16,Data!F:F)*J16</f>
        <v>0</v>
      </c>
      <c r="L16" s="49">
        <f t="shared" si="1"/>
        <v>0</v>
      </c>
      <c r="M16" s="50">
        <f t="shared" si="2"/>
        <v>0</v>
      </c>
      <c r="N16" s="33" t="e">
        <f>INDEX(Data!C:C,MATCH(F12,Data!B:B,0))</f>
        <v>#N/A</v>
      </c>
      <c r="O16" s="51" t="e">
        <f t="shared" si="3"/>
        <v>#N/A</v>
      </c>
      <c r="Q16" s="54" t="str">
        <f>$B$16</f>
        <v>ยูมิยูมิ เค้กสาหร่ายไก่หยอง 75กรัม</v>
      </c>
      <c r="R16" s="23">
        <f>SUM('นครสวรรค์(2):มหาชัย(1)'!D16)</f>
        <v>0</v>
      </c>
      <c r="T16" s="54" t="str">
        <f>$B$16</f>
        <v>ยูมิยูมิ เค้กสาหร่ายไก่หยอง 75กรัม</v>
      </c>
      <c r="U16" s="23">
        <f>SUM('หาดใหญ่(1):มหาชัย(1)'!D16)</f>
        <v>0</v>
      </c>
      <c r="W16" s="54" t="str">
        <f>$B$16</f>
        <v>ยูมิยูมิ เค้กสาหร่ายไก่หยอง 75กรัม</v>
      </c>
      <c r="X16" s="23">
        <f t="shared" si="5"/>
        <v>0</v>
      </c>
    </row>
    <row r="17" spans="1:24" ht="44.45" customHeight="1" x14ac:dyDescent="0.2">
      <c r="A17" s="36">
        <v>10</v>
      </c>
      <c r="B17" s="26" t="s">
        <v>88</v>
      </c>
      <c r="C17" s="27">
        <f>SUMIF(Data!E:E,B17,Data!F:F)</f>
        <v>48</v>
      </c>
      <c r="D17" s="28"/>
      <c r="E17" s="29" t="s">
        <v>14</v>
      </c>
      <c r="F17" s="30"/>
      <c r="G17" s="31"/>
      <c r="H17" s="32">
        <f t="shared" si="4"/>
        <v>0</v>
      </c>
      <c r="J17" s="47">
        <f t="shared" si="0"/>
        <v>0</v>
      </c>
      <c r="K17" s="48">
        <f>SUMIF(Data!E:E,'มหาชัย(1)'!B17,Data!F:F)*J17</f>
        <v>0</v>
      </c>
      <c r="L17" s="49">
        <f t="shared" si="1"/>
        <v>0</v>
      </c>
      <c r="M17" s="50">
        <f t="shared" si="2"/>
        <v>0</v>
      </c>
      <c r="N17" s="33" t="e">
        <f>INDEX(Data!C:C,MATCH(F13,Data!B:B,0))</f>
        <v>#N/A</v>
      </c>
      <c r="O17" s="51" t="e">
        <f t="shared" si="3"/>
        <v>#N/A</v>
      </c>
      <c r="Q17" s="54" t="str">
        <f>$B$17</f>
        <v>ยูมิยูมิ เค้กช็อกโกแลตเฮเซลนัท 75กรัม</v>
      </c>
      <c r="R17" s="23">
        <f>SUM('นครสวรรค์(2):มหาชัย(1)'!D17)</f>
        <v>0</v>
      </c>
      <c r="T17" s="54" t="str">
        <f>$B$17</f>
        <v>ยูมิยูมิ เค้กช็อกโกแลตเฮเซลนัท 75กรัม</v>
      </c>
      <c r="U17" s="23">
        <f>SUM('หาดใหญ่(1):มหาชัย(1)'!D17)</f>
        <v>0</v>
      </c>
      <c r="W17" s="54" t="str">
        <f>$B$17</f>
        <v>ยูมิยูมิ เค้กช็อกโกแลตเฮเซลนัท 75กรัม</v>
      </c>
      <c r="X17" s="23">
        <f t="shared" si="5"/>
        <v>0</v>
      </c>
    </row>
    <row r="18" spans="1:24" ht="44.45" customHeight="1" x14ac:dyDescent="0.2">
      <c r="A18" s="36">
        <v>11</v>
      </c>
      <c r="B18" s="26" t="s">
        <v>87</v>
      </c>
      <c r="C18" s="27">
        <f>SUMIF(Data!E:E,B18,Data!F:F)</f>
        <v>48</v>
      </c>
      <c r="D18" s="28"/>
      <c r="E18" s="29" t="s">
        <v>14</v>
      </c>
      <c r="F18" s="30"/>
      <c r="G18" s="31"/>
      <c r="H18" s="32">
        <f t="shared" si="4"/>
        <v>0</v>
      </c>
      <c r="J18" s="47">
        <f t="shared" si="0"/>
        <v>0</v>
      </c>
      <c r="K18" s="48">
        <f>SUMIF(Data!E:E,'มหาชัย(1)'!B18,Data!F:F)*J18</f>
        <v>0</v>
      </c>
      <c r="L18" s="49">
        <f t="shared" si="1"/>
        <v>0</v>
      </c>
      <c r="M18" s="50">
        <f t="shared" si="2"/>
        <v>0</v>
      </c>
      <c r="N18" s="33" t="e">
        <f>INDEX(Data!C:C,MATCH(F14,Data!B:B,0))</f>
        <v>#N/A</v>
      </c>
      <c r="O18" s="51" t="e">
        <f t="shared" si="3"/>
        <v>#N/A</v>
      </c>
      <c r="Q18" s="54" t="str">
        <f>$B$18</f>
        <v>ยูมิยูมิ ชิฟฟอนชีสเค้ก 75กรัม</v>
      </c>
      <c r="R18" s="23">
        <f>SUM('นครสวรรค์(2):มหาชัย(1)'!D18)</f>
        <v>0</v>
      </c>
      <c r="T18" s="54" t="str">
        <f>$B$18</f>
        <v>ยูมิยูมิ ชิฟฟอนชีสเค้ก 75กรัม</v>
      </c>
      <c r="U18" s="23">
        <f>SUM('หาดใหญ่(1):มหาชัย(1)'!D18)</f>
        <v>0</v>
      </c>
      <c r="W18" s="54" t="str">
        <f>$B$18</f>
        <v>ยูมิยูมิ ชิฟฟอนชีสเค้ก 75กรัม</v>
      </c>
      <c r="X18" s="23">
        <f t="shared" si="5"/>
        <v>0</v>
      </c>
    </row>
    <row r="19" spans="1:24" ht="44.45" customHeight="1" x14ac:dyDescent="0.2">
      <c r="A19" s="36">
        <v>12</v>
      </c>
      <c r="B19" s="26" t="s">
        <v>90</v>
      </c>
      <c r="C19" s="27">
        <f>SUMIF(Data!E:E,B19,Data!F:F)</f>
        <v>60</v>
      </c>
      <c r="D19" s="28"/>
      <c r="E19" s="29" t="s">
        <v>14</v>
      </c>
      <c r="F19" s="30"/>
      <c r="G19" s="31"/>
      <c r="H19" s="32">
        <f t="shared" si="4"/>
        <v>0</v>
      </c>
      <c r="J19" s="47">
        <f t="shared" si="0"/>
        <v>0</v>
      </c>
      <c r="K19" s="48">
        <f>SUMIF(Data!E:E,'มหาชัย(1)'!B19,Data!F:F)*J19</f>
        <v>0</v>
      </c>
      <c r="L19" s="49">
        <f t="shared" si="1"/>
        <v>0</v>
      </c>
      <c r="M19" s="50">
        <f t="shared" si="2"/>
        <v>0</v>
      </c>
      <c r="N19" s="33" t="e">
        <f>INDEX(Data!C:C,MATCH(F15,Data!B:B,0))</f>
        <v>#N/A</v>
      </c>
      <c r="O19" s="51" t="e">
        <f t="shared" si="3"/>
        <v>#N/A</v>
      </c>
      <c r="Q19" s="54" t="str">
        <f>$B$19</f>
        <v>วาฟเฟิลครีมโคโคนัทมิลค์ 62กรัม</v>
      </c>
      <c r="R19" s="23">
        <f>SUM('นครสวรรค์(2):มหาชัย(1)'!D19)</f>
        <v>0</v>
      </c>
      <c r="T19" s="54" t="str">
        <f>$B$19</f>
        <v>วาฟเฟิลครีมโคโคนัทมิลค์ 62กรัม</v>
      </c>
      <c r="U19" s="23">
        <f>SUM('หาดใหญ่(1):มหาชัย(1)'!D19)</f>
        <v>0</v>
      </c>
      <c r="W19" s="54" t="str">
        <f>$B$19</f>
        <v>วาฟเฟิลครีมโคโคนัทมิลค์ 62กรัม</v>
      </c>
      <c r="X19" s="23">
        <f t="shared" si="5"/>
        <v>0</v>
      </c>
    </row>
    <row r="20" spans="1:24" ht="44.45" customHeight="1" x14ac:dyDescent="0.2">
      <c r="A20" s="36">
        <v>13</v>
      </c>
      <c r="B20" s="26" t="s">
        <v>91</v>
      </c>
      <c r="C20" s="27">
        <f>SUMIF(Data!E:E,B20,Data!F:F)</f>
        <v>50</v>
      </c>
      <c r="D20" s="28"/>
      <c r="E20" s="29" t="s">
        <v>14</v>
      </c>
      <c r="F20" s="30"/>
      <c r="G20" s="31"/>
      <c r="H20" s="32">
        <f t="shared" si="4"/>
        <v>0</v>
      </c>
      <c r="J20" s="47">
        <f t="shared" si="0"/>
        <v>0</v>
      </c>
      <c r="K20" s="48">
        <f>SUMIF(Data!E:E,'มหาชัย(1)'!B20,Data!F:F)*J20</f>
        <v>0</v>
      </c>
      <c r="L20" s="49">
        <f t="shared" si="1"/>
        <v>0</v>
      </c>
      <c r="M20" s="50">
        <f t="shared" si="2"/>
        <v>0</v>
      </c>
      <c r="N20" s="33" t="e">
        <f>INDEX(Data!C:C,MATCH(F16,Data!B:B,0))</f>
        <v>#N/A</v>
      </c>
      <c r="O20" s="51" t="e">
        <f t="shared" si="3"/>
        <v>#N/A</v>
      </c>
      <c r="Q20" s="54" t="str">
        <f>$B$20</f>
        <v>ยูมิยูมิ เค้กโรลนมชมพู 55กรัม</v>
      </c>
      <c r="R20" s="23">
        <f>SUM('นครสวรรค์(2):มหาชัย(1)'!D20)</f>
        <v>0</v>
      </c>
      <c r="T20" s="54" t="str">
        <f>$B$20</f>
        <v>ยูมิยูมิ เค้กโรลนมชมพู 55กรัม</v>
      </c>
      <c r="U20" s="23">
        <f>SUM('หาดใหญ่(1):มหาชัย(1)'!D20)</f>
        <v>0</v>
      </c>
      <c r="W20" s="54" t="str">
        <f>$B$20</f>
        <v>ยูมิยูมิ เค้กโรลนมชมพู 55กรัม</v>
      </c>
      <c r="X20" s="23">
        <f t="shared" si="5"/>
        <v>0</v>
      </c>
    </row>
    <row r="21" spans="1:24" ht="44.45" customHeight="1" x14ac:dyDescent="0.2">
      <c r="A21" s="36">
        <v>14</v>
      </c>
      <c r="B21" s="26" t="s">
        <v>93</v>
      </c>
      <c r="C21" s="27">
        <f>SUMIF(Data!E:E,B21,Data!F:F)</f>
        <v>60</v>
      </c>
      <c r="D21" s="28"/>
      <c r="E21" s="29" t="s">
        <v>14</v>
      </c>
      <c r="F21" s="30"/>
      <c r="G21" s="31"/>
      <c r="H21" s="32">
        <f t="shared" si="4"/>
        <v>0</v>
      </c>
      <c r="J21" s="47">
        <f t="shared" si="0"/>
        <v>0</v>
      </c>
      <c r="K21" s="48">
        <f>SUMIF(Data!E:E,'มหาชัย(1)'!B21,Data!F:F)*J21</f>
        <v>0</v>
      </c>
      <c r="L21" s="49">
        <f t="shared" si="1"/>
        <v>0</v>
      </c>
      <c r="M21" s="50">
        <f t="shared" si="2"/>
        <v>0</v>
      </c>
      <c r="N21" s="33" t="e">
        <f>INDEX(Data!C:C,MATCH(F17,Data!B:B,0))</f>
        <v>#N/A</v>
      </c>
      <c r="O21" s="51" t="e">
        <f t="shared" si="3"/>
        <v>#N/A</v>
      </c>
      <c r="Q21" s="54" t="str">
        <f>$B$21</f>
        <v xml:space="preserve">ยูมิยูมิ วาฟเฟิลครีมราสเบอร์รี่ 62กรัม </v>
      </c>
      <c r="R21" s="23">
        <f>SUM('นครสวรรค์(2):มหาชัย(1)'!D21)</f>
        <v>0</v>
      </c>
      <c r="T21" s="54" t="str">
        <f>$B$21</f>
        <v xml:space="preserve">ยูมิยูมิ วาฟเฟิลครีมราสเบอร์รี่ 62กรัม </v>
      </c>
      <c r="U21" s="23">
        <f>SUM('หาดใหญ่(1):มหาชัย(1)'!D21)</f>
        <v>0</v>
      </c>
      <c r="W21" s="54" t="str">
        <f>$B$21</f>
        <v xml:space="preserve">ยูมิยูมิ วาฟเฟิลครีมราสเบอร์รี่ 62กรัม </v>
      </c>
      <c r="X21" s="23">
        <f t="shared" si="5"/>
        <v>0</v>
      </c>
    </row>
    <row r="22" spans="1:24" ht="44.45" customHeight="1" x14ac:dyDescent="0.2">
      <c r="A22" s="36">
        <v>15</v>
      </c>
      <c r="B22" s="26" t="s">
        <v>94</v>
      </c>
      <c r="C22" s="27">
        <f>SUMIF(Data!E:E,B22,Data!F:F)</f>
        <v>55</v>
      </c>
      <c r="D22" s="28"/>
      <c r="E22" s="29" t="s">
        <v>14</v>
      </c>
      <c r="F22" s="30"/>
      <c r="G22" s="31"/>
      <c r="H22" s="32">
        <f t="shared" si="4"/>
        <v>0</v>
      </c>
      <c r="J22" s="47">
        <f t="shared" si="0"/>
        <v>0</v>
      </c>
      <c r="K22" s="48">
        <f>SUMIF(Data!E:E,'มหาชัย(1)'!B22,Data!F:F)*J22</f>
        <v>0</v>
      </c>
      <c r="L22" s="49">
        <f t="shared" si="1"/>
        <v>0</v>
      </c>
      <c r="M22" s="50">
        <f t="shared" si="2"/>
        <v>0</v>
      </c>
      <c r="N22" s="33" t="e">
        <f>INDEX(Data!C:C,MATCH(F18,Data!B:B,0))</f>
        <v>#N/A</v>
      </c>
      <c r="O22" s="51" t="e">
        <f t="shared" si="3"/>
        <v>#N/A</v>
      </c>
      <c r="Q22" s="54" t="str">
        <f>$B$22</f>
        <v>ยูมิยูมิ ขนมปังมอนสเตอร์รสบลูเบอร์รี่</v>
      </c>
      <c r="R22" s="23">
        <f>SUM('นครสวรรค์(2):มหาชัย(1)'!D22)</f>
        <v>0</v>
      </c>
      <c r="T22" s="54" t="str">
        <f>$B$22</f>
        <v>ยูมิยูมิ ขนมปังมอนสเตอร์รสบลูเบอร์รี่</v>
      </c>
      <c r="U22" s="23">
        <f>SUM('หาดใหญ่(1):มหาชัย(1)'!D22)</f>
        <v>0</v>
      </c>
      <c r="W22" s="54" t="str">
        <f>$B$22</f>
        <v>ยูมิยูมิ ขนมปังมอนสเตอร์รสบลูเบอร์รี่</v>
      </c>
      <c r="X22" s="23">
        <f t="shared" si="5"/>
        <v>0</v>
      </c>
    </row>
    <row r="23" spans="1:24" ht="44.45" customHeight="1" x14ac:dyDescent="0.2">
      <c r="A23" s="36">
        <v>16</v>
      </c>
      <c r="B23" s="26" t="s">
        <v>95</v>
      </c>
      <c r="C23" s="27">
        <f>SUMIF(Data!E:E,B23,Data!F:F)</f>
        <v>50</v>
      </c>
      <c r="D23" s="28"/>
      <c r="E23" s="29" t="s">
        <v>14</v>
      </c>
      <c r="F23" s="30"/>
      <c r="G23" s="31"/>
      <c r="H23" s="32">
        <f t="shared" si="4"/>
        <v>0</v>
      </c>
      <c r="J23" s="47">
        <f t="shared" si="0"/>
        <v>0</v>
      </c>
      <c r="K23" s="48">
        <f>SUMIF(Data!E:E,'มหาชัย(1)'!B23,Data!F:F)*J23</f>
        <v>0</v>
      </c>
      <c r="L23" s="49">
        <f t="shared" si="1"/>
        <v>0</v>
      </c>
      <c r="M23" s="50">
        <f t="shared" si="2"/>
        <v>0</v>
      </c>
      <c r="N23" s="33" t="e">
        <f>INDEX(Data!C:C,MATCH(F19,Data!B:B,0))</f>
        <v>#N/A</v>
      </c>
      <c r="O23" s="51" t="e">
        <f t="shared" si="3"/>
        <v>#N/A</v>
      </c>
      <c r="Q23" s="54" t="str">
        <f>$B$23</f>
        <v>ยูมิยูมิ เค้กโรลมัตจะ 55กรัม</v>
      </c>
      <c r="R23" s="23">
        <f>SUM('นครสวรรค์(2):มหาชัย(1)'!D23)</f>
        <v>0</v>
      </c>
      <c r="T23" s="54" t="str">
        <f>$B$23</f>
        <v>ยูมิยูมิ เค้กโรลมัตจะ 55กรัม</v>
      </c>
      <c r="U23" s="23">
        <f>SUM('หาดใหญ่(1):มหาชัย(1)'!D23)</f>
        <v>0</v>
      </c>
      <c r="W23" s="54" t="str">
        <f>$B$23</f>
        <v>ยูมิยูมิ เค้กโรลมัตจะ 55กรัม</v>
      </c>
      <c r="X23" s="23">
        <f t="shared" si="5"/>
        <v>0</v>
      </c>
    </row>
    <row r="24" spans="1:24" ht="44.45" customHeight="1" x14ac:dyDescent="0.2">
      <c r="A24" s="36">
        <v>17</v>
      </c>
      <c r="B24" s="26" t="s">
        <v>98</v>
      </c>
      <c r="C24" s="27">
        <f>SUMIF(Data!E:E,B24,Data!F:F)</f>
        <v>55</v>
      </c>
      <c r="D24" s="28"/>
      <c r="E24" s="29" t="s">
        <v>14</v>
      </c>
      <c r="F24" s="30"/>
      <c r="G24" s="31"/>
      <c r="H24" s="32">
        <f t="shared" si="4"/>
        <v>0</v>
      </c>
      <c r="J24" s="47">
        <f t="shared" si="0"/>
        <v>0</v>
      </c>
      <c r="K24" s="48">
        <f>SUMIF(Data!E:E,'มหาชัย(1)'!B24,Data!F:F)*J24</f>
        <v>0</v>
      </c>
      <c r="L24" s="49">
        <f t="shared" si="1"/>
        <v>0</v>
      </c>
      <c r="M24" s="50">
        <f t="shared" si="2"/>
        <v>0</v>
      </c>
      <c r="N24" s="33" t="e">
        <f>INDEX(Data!C:C,MATCH(F20,Data!B:B,0))</f>
        <v>#N/A</v>
      </c>
      <c r="O24" s="51" t="e">
        <f t="shared" si="3"/>
        <v>#N/A</v>
      </c>
      <c r="Q24" s="54" t="str">
        <f>$B$24</f>
        <v>ยูมิยูมิ ขนมปังมอนสเตอร์รสเยลโล่พีช 50กรัม</v>
      </c>
      <c r="R24" s="23">
        <f>SUM('นครสวรรค์(2):มหาชัย(1)'!D24)</f>
        <v>0</v>
      </c>
      <c r="T24" s="54" t="str">
        <f>$B$24</f>
        <v>ยูมิยูมิ ขนมปังมอนสเตอร์รสเยลโล่พีช 50กรัม</v>
      </c>
      <c r="U24" s="23">
        <f>SUM('หาดใหญ่(1):มหาชัย(1)'!D24)</f>
        <v>0</v>
      </c>
      <c r="W24" s="54" t="str">
        <f>$B$24</f>
        <v>ยูมิยูมิ ขนมปังมอนสเตอร์รสเยลโล่พีช 50กรัม</v>
      </c>
      <c r="X24" s="23">
        <f t="shared" si="5"/>
        <v>0</v>
      </c>
    </row>
    <row r="25" spans="1:24" ht="44.45" customHeight="1" x14ac:dyDescent="0.2">
      <c r="A25" s="36">
        <v>18</v>
      </c>
      <c r="B25" s="26" t="s">
        <v>99</v>
      </c>
      <c r="C25" s="27">
        <f>SUMIF(Data!E:E,B25,Data!F:F)</f>
        <v>55</v>
      </c>
      <c r="D25" s="28"/>
      <c r="E25" s="29" t="s">
        <v>14</v>
      </c>
      <c r="F25" s="30"/>
      <c r="G25" s="31"/>
      <c r="H25" s="32">
        <f t="shared" si="4"/>
        <v>0</v>
      </c>
      <c r="J25" s="47">
        <f t="shared" si="0"/>
        <v>0</v>
      </c>
      <c r="K25" s="48">
        <f>SUMIF(Data!E:E,'มหาชัย(1)'!B25,Data!F:F)*J25</f>
        <v>0</v>
      </c>
      <c r="L25" s="49">
        <f t="shared" si="1"/>
        <v>0</v>
      </c>
      <c r="M25" s="50">
        <f t="shared" si="2"/>
        <v>0</v>
      </c>
      <c r="N25" s="33" t="e">
        <f>INDEX(Data!C:C,MATCH(F21,Data!B:B,0))</f>
        <v>#N/A</v>
      </c>
      <c r="O25" s="51" t="e">
        <f t="shared" si="3"/>
        <v>#N/A</v>
      </c>
      <c r="Q25" s="54" t="str">
        <f>$B$25</f>
        <v>ยูมิยูมิ ขนมปังมอนสเตอร์รสสตอเบอร์รี่ 50กรัม</v>
      </c>
      <c r="R25" s="23">
        <f>SUM('นครสวรรค์(2):มหาชัย(1)'!D25)</f>
        <v>0</v>
      </c>
      <c r="T25" s="54" t="str">
        <f>$B$25</f>
        <v>ยูมิยูมิ ขนมปังมอนสเตอร์รสสตอเบอร์รี่ 50กรัม</v>
      </c>
      <c r="U25" s="23">
        <f>SUM('หาดใหญ่(1):มหาชัย(1)'!D25)</f>
        <v>0</v>
      </c>
      <c r="W25" s="54" t="str">
        <f>$B$25</f>
        <v>ยูมิยูมิ ขนมปังมอนสเตอร์รสสตอเบอร์รี่ 50กรัม</v>
      </c>
      <c r="X25" s="23">
        <f t="shared" si="5"/>
        <v>0</v>
      </c>
    </row>
    <row r="26" spans="1:24" ht="44.45" customHeight="1" x14ac:dyDescent="0.2">
      <c r="A26" s="36">
        <v>19</v>
      </c>
      <c r="B26" s="26" t="s">
        <v>100</v>
      </c>
      <c r="C26" s="27">
        <f>SUMIF(Data!E:E,B26,Data!F:F)</f>
        <v>81</v>
      </c>
      <c r="D26" s="28"/>
      <c r="E26" s="29" t="s">
        <v>14</v>
      </c>
      <c r="F26" s="30"/>
      <c r="G26" s="31"/>
      <c r="H26" s="32">
        <f t="shared" si="4"/>
        <v>0</v>
      </c>
      <c r="J26" s="47">
        <f t="shared" si="0"/>
        <v>0</v>
      </c>
      <c r="K26" s="48">
        <f>SUMIF(Data!E:E,'มหาชัย(1)'!B26,Data!F:F)*J26</f>
        <v>0</v>
      </c>
      <c r="L26" s="49">
        <f t="shared" si="1"/>
        <v>0</v>
      </c>
      <c r="M26" s="50">
        <f t="shared" si="2"/>
        <v>0</v>
      </c>
      <c r="N26" s="33" t="e">
        <f>INDEX(Data!C:C,MATCH(F22,Data!B:B,0))</f>
        <v>#N/A</v>
      </c>
      <c r="O26" s="51" t="e">
        <f t="shared" si="3"/>
        <v>#N/A</v>
      </c>
      <c r="Q26" s="54" t="str">
        <f>$B$26</f>
        <v>ยูมิยูมิ มินิเค้กไส้ครีมกล้วยหอม 40กรัม</v>
      </c>
      <c r="R26" s="23">
        <f>SUM('นครสวรรค์(2):มหาชัย(1)'!D26)</f>
        <v>0</v>
      </c>
      <c r="T26" s="54" t="str">
        <f>$B$26</f>
        <v>ยูมิยูมิ มินิเค้กไส้ครีมกล้วยหอม 40กรัม</v>
      </c>
      <c r="U26" s="23">
        <f>SUM('หาดใหญ่(1):มหาชัย(1)'!D26)</f>
        <v>0</v>
      </c>
      <c r="W26" s="54" t="str">
        <f>$B$26</f>
        <v>ยูมิยูมิ มินิเค้กไส้ครีมกล้วยหอม 40กรัม</v>
      </c>
      <c r="X26" s="23">
        <f t="shared" si="5"/>
        <v>0</v>
      </c>
    </row>
    <row r="27" spans="1:24" ht="54.6" customHeight="1" x14ac:dyDescent="0.2">
      <c r="A27" s="60" t="s">
        <v>5</v>
      </c>
      <c r="B27" s="60"/>
      <c r="C27" s="40"/>
      <c r="D27" s="41"/>
      <c r="E27" s="42"/>
      <c r="F27" s="42"/>
      <c r="G27" s="42"/>
      <c r="H27" s="1"/>
      <c r="J27" s="14" t="s">
        <v>39</v>
      </c>
      <c r="K27" s="14" t="s">
        <v>41</v>
      </c>
      <c r="L27" s="14" t="s">
        <v>57</v>
      </c>
      <c r="Q27" s="24" t="s">
        <v>70</v>
      </c>
      <c r="R27" s="25">
        <f>SUM(R8:R26)</f>
        <v>0</v>
      </c>
      <c r="T27" s="24" t="s">
        <v>70</v>
      </c>
      <c r="U27" s="25">
        <f>SUM(U8:U26)</f>
        <v>0</v>
      </c>
      <c r="W27" s="24" t="s">
        <v>70</v>
      </c>
      <c r="X27" s="25">
        <f>SUM(X8:X26)</f>
        <v>0</v>
      </c>
    </row>
    <row r="28" spans="1:24" ht="20.100000000000001" customHeight="1" x14ac:dyDescent="0.2">
      <c r="J28" s="13">
        <f>SUM($J$8:$J$26)</f>
        <v>0</v>
      </c>
      <c r="K28" s="13">
        <f>SUM($L$8:$L$26)</f>
        <v>0</v>
      </c>
      <c r="L28" s="13">
        <f>SUM($J$28:$K$28)</f>
        <v>0</v>
      </c>
    </row>
    <row r="29" spans="1:24" ht="20.100000000000001" customHeight="1" x14ac:dyDescent="0.2"/>
    <row r="30" spans="1:24" ht="61.5" customHeight="1" x14ac:dyDescent="0.25">
      <c r="A30" s="8"/>
      <c r="B30" s="9" t="s">
        <v>29</v>
      </c>
      <c r="C30" s="9"/>
      <c r="G30" s="8" t="s">
        <v>31</v>
      </c>
      <c r="K30" s="11"/>
      <c r="L30" s="8"/>
      <c r="N30" s="8"/>
      <c r="O30" s="8"/>
    </row>
    <row r="31" spans="1:24" ht="61.5" customHeight="1" x14ac:dyDescent="0.25">
      <c r="A31" s="8"/>
      <c r="B31" s="8" t="s">
        <v>28</v>
      </c>
      <c r="C31" s="8"/>
      <c r="F31" s="8"/>
      <c r="G31" s="8" t="s">
        <v>32</v>
      </c>
      <c r="H31" s="8"/>
      <c r="K31" s="11"/>
      <c r="L31" s="8"/>
      <c r="N31" s="8"/>
      <c r="O31" s="8"/>
    </row>
    <row r="32" spans="1:24" ht="61.5" customHeight="1" x14ac:dyDescent="0.25">
      <c r="A32" s="8"/>
      <c r="B32" s="8" t="s">
        <v>30</v>
      </c>
      <c r="C32" s="8"/>
      <c r="F32" s="8"/>
      <c r="G32" s="8" t="s">
        <v>33</v>
      </c>
      <c r="H32" s="9"/>
      <c r="J32" s="11"/>
      <c r="L32" s="9"/>
      <c r="N32" s="9"/>
      <c r="O32" s="9"/>
    </row>
    <row r="33" ht="20.100000000000001" customHeight="1" x14ac:dyDescent="0.2"/>
    <row r="34" ht="20.100000000000001" customHeight="1" x14ac:dyDescent="0.2"/>
    <row r="35" ht="20.100000000000001" customHeight="1" x14ac:dyDescent="0.2"/>
    <row r="36" ht="20.100000000000001" customHeight="1" x14ac:dyDescent="0.2"/>
    <row r="37" ht="20.100000000000001" customHeight="1" x14ac:dyDescent="0.2"/>
    <row r="38" ht="20.100000000000001" customHeight="1" x14ac:dyDescent="0.2"/>
    <row r="39" ht="20.100000000000001" customHeight="1" x14ac:dyDescent="0.2"/>
    <row r="40" ht="20.100000000000001" customHeight="1" x14ac:dyDescent="0.2"/>
    <row r="41" ht="20.100000000000001" customHeight="1" x14ac:dyDescent="0.2"/>
  </sheetData>
  <dataConsolidate/>
  <mergeCells count="13">
    <mergeCell ref="A27:B27"/>
    <mergeCell ref="B5:B6"/>
    <mergeCell ref="A3:H3"/>
    <mergeCell ref="A1:F2"/>
    <mergeCell ref="J6:K6"/>
    <mergeCell ref="A5:A6"/>
    <mergeCell ref="L6:M6"/>
    <mergeCell ref="J5:M5"/>
    <mergeCell ref="D5:E5"/>
    <mergeCell ref="D6:E6"/>
    <mergeCell ref="D4:E4"/>
    <mergeCell ref="F5:H6"/>
    <mergeCell ref="F4:H4"/>
  </mergeCells>
  <conditionalFormatting sqref="H8:H26">
    <cfRule type="cellIs" dxfId="5" priority="4" operator="lessThan">
      <formula>-1</formula>
    </cfRule>
    <cfRule type="cellIs" dxfId="4" priority="5" operator="equal">
      <formula>"-"</formula>
    </cfRule>
  </conditionalFormatting>
  <conditionalFormatting sqref="J8:O26">
    <cfRule type="containsErrors" dxfId="3" priority="6">
      <formula>ISERROR(J8)</formula>
    </cfRule>
  </conditionalFormatting>
  <conditionalFormatting sqref="O8:O26">
    <cfRule type="cellIs" dxfId="2" priority="1" operator="lessThan">
      <formula>0</formula>
    </cfRule>
    <cfRule type="cellIs" dxfId="1" priority="2" operator="greaterThan">
      <formula>15</formula>
    </cfRule>
    <cfRule type="cellIs" dxfId="0" priority="3" operator="lessThan">
      <formula>16</formula>
    </cfRule>
  </conditionalFormatting>
  <pageMargins left="0.7" right="0.7" top="0.75" bottom="0.75" header="0.3" footer="0.3"/>
  <pageSetup paperSize="9" scale="38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9591129-C085-42EC-AC3B-CFFD36E3AF01}">
          <x14:formula1>
            <xm:f>Data!$B$2:$B$22</xm:f>
          </x14:formula1>
          <xm:sqref>F4</xm:sqref>
        </x14:dataValidation>
        <x14:dataValidation type="list" allowBlank="1" showInputMessage="1" showErrorMessage="1" xr:uid="{281FF834-0366-4E5C-B7B5-498AC2B8BCAC}">
          <x14:formula1>
            <xm:f>Data!$G$2:$G$6</xm:f>
          </x14:formula1>
          <xm:sqref>E8:E26</xm:sqref>
        </x14:dataValidation>
        <x14:dataValidation type="list" allowBlank="1" showInputMessage="1" showErrorMessage="1" xr:uid="{3029BC96-A53F-48E3-8972-2D6CE6AA9527}">
          <x14:formula1>
            <xm:f>Data!$E$2:$E$37</xm:f>
          </x14:formula1>
          <xm:sqref>B8:B26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1B75B-0E5C-4A13-A337-988579CF8ABF}">
  <dimension ref="A1:G40"/>
  <sheetViews>
    <sheetView topLeftCell="C7" workbookViewId="0">
      <selection activeCell="E40" sqref="E40"/>
    </sheetView>
  </sheetViews>
  <sheetFormatPr defaultRowHeight="14.25" x14ac:dyDescent="0.2"/>
  <cols>
    <col min="1" max="1" width="33.875" bestFit="1" customWidth="1"/>
    <col min="2" max="2" width="26.125" customWidth="1"/>
    <col min="3" max="3" width="15.125" style="4" bestFit="1" customWidth="1"/>
    <col min="5" max="5" width="38.125" bestFit="1" customWidth="1"/>
    <col min="6" max="6" width="26.875" customWidth="1"/>
    <col min="7" max="7" width="17.625" customWidth="1"/>
  </cols>
  <sheetData>
    <row r="1" spans="1:7" ht="28.5" x14ac:dyDescent="0.2">
      <c r="A1" s="12" t="s">
        <v>7</v>
      </c>
      <c r="B1" s="12" t="s">
        <v>13</v>
      </c>
      <c r="C1" s="3" t="s">
        <v>23</v>
      </c>
      <c r="D1" s="12"/>
      <c r="E1" s="12" t="s">
        <v>22</v>
      </c>
      <c r="F1" s="12" t="s">
        <v>42</v>
      </c>
      <c r="G1" s="12" t="s">
        <v>12</v>
      </c>
    </row>
    <row r="2" spans="1:7" x14ac:dyDescent="0.2">
      <c r="A2" t="s">
        <v>20</v>
      </c>
      <c r="B2" t="s">
        <v>8</v>
      </c>
      <c r="E2" s="1" t="s">
        <v>37</v>
      </c>
      <c r="F2">
        <v>36</v>
      </c>
      <c r="G2" t="s">
        <v>15</v>
      </c>
    </row>
    <row r="3" spans="1:7" x14ac:dyDescent="0.2">
      <c r="A3" t="s">
        <v>21</v>
      </c>
      <c r="B3" t="s">
        <v>34</v>
      </c>
      <c r="C3" s="4">
        <v>60</v>
      </c>
      <c r="E3" s="1" t="s">
        <v>36</v>
      </c>
      <c r="F3">
        <v>40</v>
      </c>
      <c r="G3" t="s">
        <v>16</v>
      </c>
    </row>
    <row r="4" spans="1:7" x14ac:dyDescent="0.2">
      <c r="A4" t="s">
        <v>21</v>
      </c>
      <c r="B4" t="s">
        <v>35</v>
      </c>
      <c r="C4" s="4">
        <v>60</v>
      </c>
      <c r="E4" s="1" t="s">
        <v>45</v>
      </c>
      <c r="F4">
        <v>40</v>
      </c>
      <c r="G4" t="s">
        <v>14</v>
      </c>
    </row>
    <row r="5" spans="1:7" x14ac:dyDescent="0.2">
      <c r="A5" t="s">
        <v>21</v>
      </c>
      <c r="B5" t="s">
        <v>47</v>
      </c>
      <c r="C5" s="4">
        <v>60</v>
      </c>
      <c r="E5" s="1" t="s">
        <v>46</v>
      </c>
      <c r="F5">
        <v>48</v>
      </c>
      <c r="G5" t="s">
        <v>74</v>
      </c>
    </row>
    <row r="6" spans="1:7" x14ac:dyDescent="0.2">
      <c r="A6" t="s">
        <v>21</v>
      </c>
      <c r="B6" t="s">
        <v>48</v>
      </c>
      <c r="C6" s="4">
        <v>60</v>
      </c>
      <c r="E6" s="1" t="s">
        <v>59</v>
      </c>
      <c r="F6">
        <v>36</v>
      </c>
      <c r="G6" t="s">
        <v>75</v>
      </c>
    </row>
    <row r="7" spans="1:7" x14ac:dyDescent="0.2">
      <c r="A7" t="s">
        <v>21</v>
      </c>
      <c r="B7" t="s">
        <v>49</v>
      </c>
      <c r="C7" s="4">
        <v>60</v>
      </c>
      <c r="E7" s="1" t="s">
        <v>60</v>
      </c>
      <c r="F7">
        <v>42</v>
      </c>
    </row>
    <row r="8" spans="1:7" x14ac:dyDescent="0.2">
      <c r="A8" t="s">
        <v>21</v>
      </c>
      <c r="B8" t="s">
        <v>50</v>
      </c>
      <c r="C8" s="4">
        <v>60</v>
      </c>
      <c r="E8" s="1" t="s">
        <v>61</v>
      </c>
      <c r="F8">
        <v>30</v>
      </c>
    </row>
    <row r="9" spans="1:7" x14ac:dyDescent="0.2">
      <c r="A9" t="s">
        <v>21</v>
      </c>
      <c r="B9" t="s">
        <v>51</v>
      </c>
      <c r="C9" s="4">
        <v>60</v>
      </c>
      <c r="E9" s="1" t="s">
        <v>64</v>
      </c>
      <c r="F9">
        <v>30</v>
      </c>
    </row>
    <row r="10" spans="1:7" x14ac:dyDescent="0.2">
      <c r="A10" t="s">
        <v>21</v>
      </c>
      <c r="B10" t="s">
        <v>52</v>
      </c>
      <c r="C10" s="4">
        <v>60</v>
      </c>
      <c r="E10" s="2" t="s">
        <v>65</v>
      </c>
      <c r="F10" s="10">
        <v>30</v>
      </c>
    </row>
    <row r="11" spans="1:7" x14ac:dyDescent="0.2">
      <c r="A11" t="s">
        <v>21</v>
      </c>
      <c r="B11" t="s">
        <v>53</v>
      </c>
      <c r="C11" s="4">
        <v>60</v>
      </c>
      <c r="E11" s="2" t="s">
        <v>66</v>
      </c>
      <c r="F11" s="10">
        <v>36</v>
      </c>
    </row>
    <row r="12" spans="1:7" x14ac:dyDescent="0.2">
      <c r="A12" t="s">
        <v>21</v>
      </c>
      <c r="B12" t="s">
        <v>54</v>
      </c>
      <c r="C12" s="4">
        <v>60</v>
      </c>
      <c r="E12" s="2" t="s">
        <v>78</v>
      </c>
      <c r="F12" s="10">
        <v>42</v>
      </c>
    </row>
    <row r="13" spans="1:7" x14ac:dyDescent="0.2">
      <c r="A13" t="s">
        <v>21</v>
      </c>
      <c r="B13" t="s">
        <v>55</v>
      </c>
      <c r="C13" s="4">
        <v>60</v>
      </c>
      <c r="E13" s="2" t="s">
        <v>67</v>
      </c>
      <c r="F13" s="10">
        <v>56</v>
      </c>
    </row>
    <row r="14" spans="1:7" x14ac:dyDescent="0.2">
      <c r="A14" t="s">
        <v>21</v>
      </c>
      <c r="B14" t="s">
        <v>56</v>
      </c>
      <c r="C14" s="4">
        <v>60</v>
      </c>
      <c r="E14" s="2" t="s">
        <v>68</v>
      </c>
      <c r="F14" s="10">
        <v>60</v>
      </c>
    </row>
    <row r="15" spans="1:7" x14ac:dyDescent="0.2">
      <c r="A15" t="s">
        <v>43</v>
      </c>
      <c r="B15" t="s">
        <v>44</v>
      </c>
      <c r="C15" s="4">
        <v>45</v>
      </c>
      <c r="E15" s="2" t="s">
        <v>79</v>
      </c>
      <c r="F15" s="10">
        <v>42</v>
      </c>
    </row>
    <row r="16" spans="1:7" x14ac:dyDescent="0.2">
      <c r="E16" s="2" t="s">
        <v>69</v>
      </c>
      <c r="F16" s="10">
        <v>36</v>
      </c>
    </row>
    <row r="17" spans="5:6" x14ac:dyDescent="0.2">
      <c r="E17" s="2" t="s">
        <v>80</v>
      </c>
      <c r="F17" s="10">
        <v>50</v>
      </c>
    </row>
    <row r="18" spans="5:6" x14ac:dyDescent="0.2">
      <c r="E18" s="2" t="s">
        <v>81</v>
      </c>
      <c r="F18" s="10">
        <v>60</v>
      </c>
    </row>
    <row r="19" spans="5:6" x14ac:dyDescent="0.2">
      <c r="E19" s="2" t="s">
        <v>71</v>
      </c>
      <c r="F19" s="10">
        <v>81</v>
      </c>
    </row>
    <row r="20" spans="5:6" x14ac:dyDescent="0.2">
      <c r="E20" s="2" t="s">
        <v>82</v>
      </c>
      <c r="F20" s="10">
        <v>36</v>
      </c>
    </row>
    <row r="21" spans="5:6" x14ac:dyDescent="0.2">
      <c r="E21" s="2" t="s">
        <v>83</v>
      </c>
      <c r="F21" s="10">
        <v>20</v>
      </c>
    </row>
    <row r="22" spans="5:6" x14ac:dyDescent="0.2">
      <c r="E22" s="1" t="s">
        <v>84</v>
      </c>
      <c r="F22" s="10">
        <v>42</v>
      </c>
    </row>
    <row r="23" spans="5:6" x14ac:dyDescent="0.2">
      <c r="E23" t="s">
        <v>85</v>
      </c>
      <c r="F23" s="10">
        <v>32</v>
      </c>
    </row>
    <row r="24" spans="5:6" x14ac:dyDescent="0.2">
      <c r="E24" t="s">
        <v>76</v>
      </c>
      <c r="F24" s="10">
        <v>70</v>
      </c>
    </row>
    <row r="25" spans="5:6" x14ac:dyDescent="0.2">
      <c r="E25" t="s">
        <v>86</v>
      </c>
      <c r="F25" s="10">
        <v>40</v>
      </c>
    </row>
    <row r="26" spans="5:6" x14ac:dyDescent="0.2">
      <c r="E26" t="s">
        <v>92</v>
      </c>
      <c r="F26" s="10">
        <v>20</v>
      </c>
    </row>
    <row r="27" spans="5:6" x14ac:dyDescent="0.2">
      <c r="E27" t="s">
        <v>87</v>
      </c>
      <c r="F27" s="10">
        <v>48</v>
      </c>
    </row>
    <row r="28" spans="5:6" x14ac:dyDescent="0.2">
      <c r="E28" t="s">
        <v>88</v>
      </c>
      <c r="F28" s="10">
        <v>48</v>
      </c>
    </row>
    <row r="29" spans="5:6" x14ac:dyDescent="0.2">
      <c r="E29" t="s">
        <v>89</v>
      </c>
      <c r="F29" s="10">
        <v>45</v>
      </c>
    </row>
    <row r="30" spans="5:6" x14ac:dyDescent="0.2">
      <c r="E30" t="s">
        <v>96</v>
      </c>
      <c r="F30" s="10">
        <v>20</v>
      </c>
    </row>
    <row r="31" spans="5:6" x14ac:dyDescent="0.2">
      <c r="E31" s="1" t="s">
        <v>77</v>
      </c>
      <c r="F31" s="10">
        <v>42</v>
      </c>
    </row>
    <row r="32" spans="5:6" x14ac:dyDescent="0.2">
      <c r="E32" t="s">
        <v>90</v>
      </c>
      <c r="F32" s="10">
        <v>60</v>
      </c>
    </row>
    <row r="33" spans="5:6" x14ac:dyDescent="0.2">
      <c r="E33" t="s">
        <v>91</v>
      </c>
      <c r="F33" s="10">
        <v>50</v>
      </c>
    </row>
    <row r="34" spans="5:6" x14ac:dyDescent="0.2">
      <c r="E34" t="s">
        <v>93</v>
      </c>
      <c r="F34" s="10">
        <v>60</v>
      </c>
    </row>
    <row r="35" spans="5:6" x14ac:dyDescent="0.2">
      <c r="E35" t="s">
        <v>94</v>
      </c>
      <c r="F35" s="10">
        <v>55</v>
      </c>
    </row>
    <row r="36" spans="5:6" x14ac:dyDescent="0.2">
      <c r="E36" t="s">
        <v>95</v>
      </c>
      <c r="F36" s="10">
        <v>50</v>
      </c>
    </row>
    <row r="37" spans="5:6" x14ac:dyDescent="0.2">
      <c r="E37" t="s">
        <v>97</v>
      </c>
      <c r="F37" s="10">
        <v>20</v>
      </c>
    </row>
    <row r="38" spans="5:6" x14ac:dyDescent="0.2">
      <c r="E38" t="s">
        <v>98</v>
      </c>
      <c r="F38" s="10">
        <v>55</v>
      </c>
    </row>
    <row r="39" spans="5:6" x14ac:dyDescent="0.2">
      <c r="E39" t="s">
        <v>99</v>
      </c>
      <c r="F39" s="10">
        <v>55</v>
      </c>
    </row>
    <row r="40" spans="5:6" x14ac:dyDescent="0.2">
      <c r="E40" t="s">
        <v>100</v>
      </c>
      <c r="F40" s="10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27</vt:i4>
      </vt:variant>
      <vt:variant>
        <vt:lpstr>ช่วงที่มีชื่อ</vt:lpstr>
      </vt:variant>
      <vt:variant>
        <vt:i4>26</vt:i4>
      </vt:variant>
    </vt:vector>
  </HeadingPairs>
  <TitlesOfParts>
    <vt:vector size="53" baseType="lpstr">
      <vt:lpstr>นครสวรรค์(2)</vt:lpstr>
      <vt:lpstr>นครสวรรค์(1)</vt:lpstr>
      <vt:lpstr>นครราชสีมา(1)</vt:lpstr>
      <vt:lpstr>เชียงใหม่(1)</vt:lpstr>
      <vt:lpstr>เชียงใหม่(2)</vt:lpstr>
      <vt:lpstr>ขอนแก่น(4)</vt:lpstr>
      <vt:lpstr>ขอนแก่น(3)</vt:lpstr>
      <vt:lpstr>ขอนแก่น(2)</vt:lpstr>
      <vt:lpstr>ขอนแก่น(1)</vt:lpstr>
      <vt:lpstr>หาดใหญ่(1)</vt:lpstr>
      <vt:lpstr>สุราษฎร์ธานี(2)</vt:lpstr>
      <vt:lpstr>สุราษฎร์ธานี(1)</vt:lpstr>
      <vt:lpstr>รังสิต(2)</vt:lpstr>
      <vt:lpstr>รังสิต(1)</vt:lpstr>
      <vt:lpstr>โชคชัย(2)</vt:lpstr>
      <vt:lpstr>โชคชัย(1)</vt:lpstr>
      <vt:lpstr>สำโรง(2)</vt:lpstr>
      <vt:lpstr>สำโรง(1)</vt:lpstr>
      <vt:lpstr>ชลบุรี(2)</vt:lpstr>
      <vt:lpstr>ชลบุรี(1)</vt:lpstr>
      <vt:lpstr>ร่มเกล้า(3)</vt:lpstr>
      <vt:lpstr>ร่มเกล้า(2)</vt:lpstr>
      <vt:lpstr>ร่มเกล้า(1)</vt:lpstr>
      <vt:lpstr>มหาชัย(3)</vt:lpstr>
      <vt:lpstr>มหาชัย(2)</vt:lpstr>
      <vt:lpstr>มหาชัย(1)</vt:lpstr>
      <vt:lpstr>Data</vt:lpstr>
      <vt:lpstr>'ขอนแก่น(1)'!Print_Area</vt:lpstr>
      <vt:lpstr>'ขอนแก่น(2)'!Print_Area</vt:lpstr>
      <vt:lpstr>'ขอนแก่น(3)'!Print_Area</vt:lpstr>
      <vt:lpstr>'ขอนแก่น(4)'!Print_Area</vt:lpstr>
      <vt:lpstr>'ชลบุรี(1)'!Print_Area</vt:lpstr>
      <vt:lpstr>'ชลบุรี(2)'!Print_Area</vt:lpstr>
      <vt:lpstr>'เชียงใหม่(1)'!Print_Area</vt:lpstr>
      <vt:lpstr>'เชียงใหม่(2)'!Print_Area</vt:lpstr>
      <vt:lpstr>'โชคชัย(1)'!Print_Area</vt:lpstr>
      <vt:lpstr>'โชคชัย(2)'!Print_Area</vt:lpstr>
      <vt:lpstr>'นครราชสีมา(1)'!Print_Area</vt:lpstr>
      <vt:lpstr>'นครสวรรค์(1)'!Print_Area</vt:lpstr>
      <vt:lpstr>'นครสวรรค์(2)'!Print_Area</vt:lpstr>
      <vt:lpstr>'มหาชัย(1)'!Print_Area</vt:lpstr>
      <vt:lpstr>'มหาชัย(2)'!Print_Area</vt:lpstr>
      <vt:lpstr>'มหาชัย(3)'!Print_Area</vt:lpstr>
      <vt:lpstr>'ร่มเกล้า(1)'!Print_Area</vt:lpstr>
      <vt:lpstr>'ร่มเกล้า(2)'!Print_Area</vt:lpstr>
      <vt:lpstr>'ร่มเกล้า(3)'!Print_Area</vt:lpstr>
      <vt:lpstr>'รังสิต(1)'!Print_Area</vt:lpstr>
      <vt:lpstr>'รังสิต(2)'!Print_Area</vt:lpstr>
      <vt:lpstr>'สำโรง(1)'!Print_Area</vt:lpstr>
      <vt:lpstr>'สำโรง(2)'!Print_Area</vt:lpstr>
      <vt:lpstr>'สุราษฎร์ธานี(1)'!Print_Area</vt:lpstr>
      <vt:lpstr>'สุราษฎร์ธานี(2)'!Print_Area</vt:lpstr>
      <vt:lpstr>'หาดใหญ่(1)'!Print_Area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รชต กาญจนนท์</cp:lastModifiedBy>
  <cp:lastPrinted>2026-05-12T06:42:05Z</cp:lastPrinted>
  <dcterms:created xsi:type="dcterms:W3CDTF">2024-08-20T06:18:17Z</dcterms:created>
  <dcterms:modified xsi:type="dcterms:W3CDTF">2026-07-09T07:45:34Z</dcterms:modified>
</cp:coreProperties>
</file>